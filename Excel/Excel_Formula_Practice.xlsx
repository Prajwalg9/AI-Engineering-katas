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AI_Engineer_katas\Excel\"/>
    </mc:Choice>
  </mc:AlternateContent>
  <xr:revisionPtr revIDLastSave="0" documentId="13_ncr:1_{D28FFE68-474F-4F29-A6C8-4C2DF7384194}" xr6:coauthVersionLast="47" xr6:coauthVersionMax="47" xr10:uidLastSave="{00000000-0000-0000-0000-000000000000}"/>
  <bookViews>
    <workbookView minimized="1" xWindow="2985" yWindow="2985" windowWidth="15375" windowHeight="7785" tabRatio="500" firstSheet="4" activeTab="6" xr2:uid="{00000000-000D-0000-FFFF-FFFF00000000}"/>
  </bookViews>
  <sheets>
    <sheet name="Sales_Data" sheetId="1" r:id="rId1"/>
    <sheet name="Vlookup and xlookup" sheetId="2" r:id="rId2"/>
    <sheet name="index+match" sheetId="5" r:id="rId3"/>
    <sheet name="IF VS IFS and IFERROR" sheetId="6" r:id="rId4"/>
    <sheet name="IF+AND +OR" sheetId="7" r:id="rId5"/>
    <sheet name="Sumifs vs COUNTIFS" sheetId="8" r:id="rId6"/>
    <sheet name="MINIFS vs MAXIFS" sheetId="11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11" l="1"/>
  <c r="E10" i="11"/>
  <c r="L9" i="8"/>
  <c r="G9" i="8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7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3" i="6"/>
  <c r="H4" i="6" a="1"/>
  <c r="H4" i="6" s="1"/>
  <c r="H5" i="6" a="1"/>
  <c r="H5" i="6"/>
  <c r="H6" i="6" a="1"/>
  <c r="H6" i="6" s="1"/>
  <c r="H7" i="6" a="1"/>
  <c r="H7" i="6"/>
  <c r="H8" i="6" a="1"/>
  <c r="H8" i="6" s="1"/>
  <c r="H9" i="6" a="1"/>
  <c r="H9" i="6"/>
  <c r="H10" i="6" a="1"/>
  <c r="H10" i="6" s="1"/>
  <c r="H11" i="6" a="1"/>
  <c r="H11" i="6"/>
  <c r="H12" i="6" a="1"/>
  <c r="H12" i="6" s="1"/>
  <c r="H13" i="6" a="1"/>
  <c r="H13" i="6"/>
  <c r="H14" i="6" a="1"/>
  <c r="H14" i="6" s="1"/>
  <c r="H15" i="6" a="1"/>
  <c r="H15" i="6"/>
  <c r="H16" i="6" a="1"/>
  <c r="H16" i="6" s="1"/>
  <c r="H17" i="6" a="1"/>
  <c r="H17" i="6"/>
  <c r="H18" i="6" a="1"/>
  <c r="H18" i="6" s="1"/>
  <c r="H19" i="6" a="1"/>
  <c r="H19" i="6"/>
  <c r="H20" i="6" a="1"/>
  <c r="H20" i="6" s="1"/>
  <c r="H21" i="6" a="1"/>
  <c r="H21" i="6"/>
  <c r="H22" i="6" a="1"/>
  <c r="H22" i="6" s="1"/>
  <c r="H23" i="6" a="1"/>
  <c r="H23" i="6"/>
  <c r="H24" i="6" a="1"/>
  <c r="H24" i="6" s="1"/>
  <c r="H25" i="6" a="1"/>
  <c r="H25" i="6"/>
  <c r="H26" i="6" a="1"/>
  <c r="H26" i="6" s="1"/>
  <c r="H27" i="6" a="1"/>
  <c r="H27" i="6"/>
  <c r="H28" i="6" a="1"/>
  <c r="H28" i="6" s="1"/>
  <c r="H29" i="6" a="1"/>
  <c r="H29" i="6"/>
  <c r="H30" i="6" a="1"/>
  <c r="H30" i="6" s="1"/>
  <c r="H31" i="6" a="1"/>
  <c r="H31" i="6"/>
  <c r="H32" i="6" a="1"/>
  <c r="H32" i="6" s="1"/>
  <c r="H33" i="6" a="1"/>
  <c r="H33" i="6"/>
  <c r="H34" i="6" a="1"/>
  <c r="H34" i="6" s="1"/>
  <c r="H35" i="6" a="1"/>
  <c r="H35" i="6"/>
  <c r="H36" i="6" a="1"/>
  <c r="H36" i="6" s="1"/>
  <c r="H37" i="6" a="1"/>
  <c r="H37" i="6"/>
  <c r="H38" i="6" a="1"/>
  <c r="H38" i="6" s="1"/>
  <c r="H39" i="6" a="1"/>
  <c r="H39" i="6"/>
  <c r="H40" i="6" a="1"/>
  <c r="H40" i="6" s="1"/>
  <c r="H41" i="6" a="1"/>
  <c r="H41" i="6"/>
  <c r="H42" i="6" a="1"/>
  <c r="H42" i="6" s="1"/>
  <c r="H43" i="6" a="1"/>
  <c r="H43" i="6"/>
  <c r="H44" i="6" a="1"/>
  <c r="H44" i="6" s="1"/>
  <c r="H45" i="6" a="1"/>
  <c r="H45" i="6"/>
  <c r="H46" i="6" a="1"/>
  <c r="H46" i="6" s="1"/>
  <c r="H47" i="6" a="1"/>
  <c r="H47" i="6"/>
  <c r="H48" i="6" a="1"/>
  <c r="H48" i="6" s="1"/>
  <c r="H49" i="6" a="1"/>
  <c r="H49" i="6"/>
  <c r="H50" i="6" a="1"/>
  <c r="H50" i="6" s="1"/>
  <c r="H51" i="6" a="1"/>
  <c r="H51" i="6"/>
  <c r="H52" i="6" a="1"/>
  <c r="H52" i="6" s="1"/>
  <c r="H53" i="6" a="1"/>
  <c r="H53" i="6"/>
  <c r="H54" i="6" a="1"/>
  <c r="H54" i="6" s="1"/>
  <c r="H55" i="6" a="1"/>
  <c r="H55" i="6"/>
  <c r="H56" i="6" a="1"/>
  <c r="H56" i="6" s="1"/>
  <c r="H57" i="6" a="1"/>
  <c r="H57" i="6"/>
  <c r="H58" i="6" a="1"/>
  <c r="H58" i="6" s="1"/>
  <c r="H59" i="6" a="1"/>
  <c r="H59" i="6"/>
  <c r="H60" i="6" a="1"/>
  <c r="H60" i="6" s="1"/>
  <c r="H61" i="6" a="1"/>
  <c r="H61" i="6"/>
  <c r="H62" i="6" a="1"/>
  <c r="H62" i="6" s="1"/>
  <c r="H63" i="6" a="1"/>
  <c r="H63" i="6"/>
  <c r="H64" i="6" a="1"/>
  <c r="H64" i="6" s="1"/>
  <c r="H65" i="6" a="1"/>
  <c r="H65" i="6"/>
  <c r="H66" i="6" a="1"/>
  <c r="H66" i="6" s="1"/>
  <c r="H67" i="6" a="1"/>
  <c r="H67" i="6"/>
  <c r="H68" i="6" a="1"/>
  <c r="H68" i="6" s="1"/>
  <c r="H69" i="6" a="1"/>
  <c r="H69" i="6"/>
  <c r="H70" i="6" a="1"/>
  <c r="H70" i="6" s="1"/>
  <c r="H71" i="6" a="1"/>
  <c r="H71" i="6"/>
  <c r="H72" i="6" a="1"/>
  <c r="H72" i="6" s="1"/>
  <c r="H73" i="6" a="1"/>
  <c r="H73" i="6"/>
  <c r="H74" i="6" a="1"/>
  <c r="H74" i="6" s="1"/>
  <c r="H75" i="6" a="1"/>
  <c r="H75" i="6"/>
  <c r="H76" i="6" a="1"/>
  <c r="H76" i="6" s="1"/>
  <c r="H77" i="6" a="1"/>
  <c r="H77" i="6"/>
  <c r="H78" i="6" a="1"/>
  <c r="H78" i="6" s="1"/>
  <c r="H79" i="6" a="1"/>
  <c r="H79" i="6"/>
  <c r="H80" i="6" a="1"/>
  <c r="H80" i="6" s="1"/>
  <c r="H81" i="6" a="1"/>
  <c r="H81" i="6"/>
  <c r="H82" i="6" a="1"/>
  <c r="H82" i="6" s="1"/>
  <c r="H83" i="6" a="1"/>
  <c r="H83" i="6"/>
  <c r="H84" i="6" a="1"/>
  <c r="H84" i="6" s="1"/>
  <c r="H85" i="6" a="1"/>
  <c r="H85" i="6"/>
  <c r="H86" i="6" a="1"/>
  <c r="H86" i="6" s="1"/>
  <c r="H87" i="6" a="1"/>
  <c r="H87" i="6"/>
  <c r="H88" i="6" a="1"/>
  <c r="H88" i="6" s="1"/>
  <c r="H89" i="6" a="1"/>
  <c r="H89" i="6"/>
  <c r="H90" i="6" a="1"/>
  <c r="H90" i="6" s="1"/>
  <c r="H91" i="6" a="1"/>
  <c r="H91" i="6"/>
  <c r="H92" i="6" a="1"/>
  <c r="H92" i="6" s="1"/>
  <c r="H93" i="6" a="1"/>
  <c r="H93" i="6"/>
  <c r="H94" i="6" a="1"/>
  <c r="H94" i="6" s="1"/>
  <c r="H95" i="6" a="1"/>
  <c r="H95" i="6"/>
  <c r="H96" i="6" a="1"/>
  <c r="H96" i="6" s="1"/>
  <c r="H97" i="6" a="1"/>
  <c r="H97" i="6"/>
  <c r="H98" i="6" a="1"/>
  <c r="H98" i="6" s="1"/>
  <c r="H99" i="6" a="1"/>
  <c r="H99" i="6"/>
  <c r="H100" i="6" a="1"/>
  <c r="H100" i="6" s="1"/>
  <c r="H101" i="6" a="1"/>
  <c r="H101" i="6"/>
  <c r="H102" i="6" a="1"/>
  <c r="H102" i="6" s="1"/>
  <c r="H103" i="6" a="1"/>
  <c r="H103" i="6"/>
  <c r="H104" i="6" a="1"/>
  <c r="H104" i="6" s="1"/>
  <c r="H105" i="6" a="1"/>
  <c r="H105" i="6"/>
  <c r="H106" i="6" a="1"/>
  <c r="H106" i="6" s="1"/>
  <c r="H107" i="6" a="1"/>
  <c r="H107" i="6"/>
  <c r="H108" i="6" a="1"/>
  <c r="H108" i="6" s="1"/>
  <c r="H109" i="6" a="1"/>
  <c r="H109" i="6"/>
  <c r="H110" i="6" a="1"/>
  <c r="H110" i="6" s="1"/>
  <c r="H111" i="6" a="1"/>
  <c r="H111" i="6"/>
  <c r="H112" i="6" a="1"/>
  <c r="H112" i="6" s="1"/>
  <c r="H113" i="6" a="1"/>
  <c r="H113" i="6"/>
  <c r="H114" i="6" a="1"/>
  <c r="H114" i="6" s="1"/>
  <c r="H115" i="6" a="1"/>
  <c r="H115" i="6"/>
  <c r="H116" i="6" a="1"/>
  <c r="H116" i="6" s="1"/>
  <c r="H117" i="6" a="1"/>
  <c r="H117" i="6"/>
  <c r="H118" i="6" a="1"/>
  <c r="H118" i="6" s="1"/>
  <c r="H119" i="6" a="1"/>
  <c r="H119" i="6"/>
  <c r="H120" i="6" a="1"/>
  <c r="H120" i="6" s="1"/>
  <c r="H121" i="6" a="1"/>
  <c r="H121" i="6"/>
  <c r="H122" i="6" a="1"/>
  <c r="H122" i="6" s="1"/>
  <c r="H3" i="6" a="1"/>
  <c r="H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3" i="6"/>
  <c r="C7" i="5"/>
  <c r="D7" i="5" s="1"/>
  <c r="E7" i="5" s="1"/>
  <c r="F7" i="5" s="1"/>
  <c r="G7" i="5" s="1"/>
  <c r="H7" i="5" s="1"/>
  <c r="I7" i="5" s="1"/>
  <c r="J7" i="5" s="1"/>
  <c r="K7" i="5" s="1"/>
  <c r="C21" i="2" a="1"/>
  <c r="C21" i="2" s="1"/>
  <c r="F7" i="2" a="1"/>
  <c r="F7" i="2" s="1"/>
  <c r="C15" i="2"/>
  <c r="C14" i="2"/>
  <c r="C13" i="2"/>
  <c r="C12" i="2"/>
  <c r="C11" i="2"/>
  <c r="C10" i="2"/>
  <c r="C9" i="2"/>
  <c r="C8" i="2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<sst xmlns="http://schemas.openxmlformats.org/spreadsheetml/2006/main" count="2365" uniqueCount="203">
  <si>
    <t>Transaction_ID</t>
  </si>
  <si>
    <t>Employee_ID</t>
  </si>
  <si>
    <t>Salesperson_Name</t>
  </si>
  <si>
    <t>Region</t>
  </si>
  <si>
    <t>Product_ID</t>
  </si>
  <si>
    <t>Category</t>
  </si>
  <si>
    <t>Sale_Amount</t>
  </si>
  <si>
    <t>Sale_Date</t>
  </si>
  <si>
    <t>Customer_Type</t>
  </si>
  <si>
    <t>Transaction_Status</t>
  </si>
  <si>
    <t>TXN-0001</t>
  </si>
  <si>
    <t>EMP-102</t>
  </si>
  <si>
    <t>Bob Smith</t>
  </si>
  <si>
    <t>South</t>
  </si>
  <si>
    <t>PRD-008</t>
  </si>
  <si>
    <t>Apparel</t>
  </si>
  <si>
    <t>Premium</t>
  </si>
  <si>
    <t>Pending</t>
  </si>
  <si>
    <t>TXN-0002</t>
  </si>
  <si>
    <t>North</t>
  </si>
  <si>
    <t>PRD-003</t>
  </si>
  <si>
    <t>Standard</t>
  </si>
  <si>
    <t>TXN-0003</t>
  </si>
  <si>
    <t>EMP-110</t>
  </si>
  <si>
    <t>Jack Anderson</t>
  </si>
  <si>
    <t>International</t>
  </si>
  <si>
    <t>PRD-014</t>
  </si>
  <si>
    <t>Trial</t>
  </si>
  <si>
    <t>TXN-0004</t>
  </si>
  <si>
    <t>EMP-105</t>
  </si>
  <si>
    <t>Emma Davis</t>
  </si>
  <si>
    <t>Furniture</t>
  </si>
  <si>
    <t>Enterprise</t>
  </si>
  <si>
    <t>Completed</t>
  </si>
  <si>
    <t>TXN-0005</t>
  </si>
  <si>
    <t>EMP-104</t>
  </si>
  <si>
    <t xml:space="preserve">David Lee  </t>
  </si>
  <si>
    <t>Software</t>
  </si>
  <si>
    <t>TXN-0006</t>
  </si>
  <si>
    <t>EMP-106</t>
  </si>
  <si>
    <t>Frank Miller</t>
  </si>
  <si>
    <t>West</t>
  </si>
  <si>
    <t>PRD-018</t>
  </si>
  <si>
    <t>Electronics</t>
  </si>
  <si>
    <t>TXN-0007</t>
  </si>
  <si>
    <t>EMP-109</t>
  </si>
  <si>
    <t>Isla Taylor</t>
  </si>
  <si>
    <t>PRD-012</t>
  </si>
  <si>
    <t>Services</t>
  </si>
  <si>
    <t>TXN-0008</t>
  </si>
  <si>
    <t>EMP-101</t>
  </si>
  <si>
    <t xml:space="preserve">   Alice Johnson  </t>
  </si>
  <si>
    <t>TXN-0009</t>
  </si>
  <si>
    <t>EMP-108</t>
  </si>
  <si>
    <t>Henry Moore</t>
  </si>
  <si>
    <t>TXN-0010</t>
  </si>
  <si>
    <t>Refunded</t>
  </si>
  <si>
    <t>TXN-0011</t>
  </si>
  <si>
    <t>TXN-0012</t>
  </si>
  <si>
    <t>East</t>
  </si>
  <si>
    <t>TXN-0013</t>
  </si>
  <si>
    <t>PRD-005</t>
  </si>
  <si>
    <t>TXN-0014</t>
  </si>
  <si>
    <t>PRD-019</t>
  </si>
  <si>
    <t>TXN-0015</t>
  </si>
  <si>
    <t>EMP-103</t>
  </si>
  <si>
    <t xml:space="preserve">  Carol White</t>
  </si>
  <si>
    <t>PRD-004</t>
  </si>
  <si>
    <t>TXN-0016</t>
  </si>
  <si>
    <t>PRD-015</t>
  </si>
  <si>
    <t>TXN-0017</t>
  </si>
  <si>
    <t>PRD-009</t>
  </si>
  <si>
    <t>TXN-0018</t>
  </si>
  <si>
    <t>EMP-107</t>
  </si>
  <si>
    <t>Grace Wilson</t>
  </si>
  <si>
    <t>PRD-017</t>
  </si>
  <si>
    <t>TXN-0019</t>
  </si>
  <si>
    <t>PRD-006</t>
  </si>
  <si>
    <t>TXN-0020</t>
  </si>
  <si>
    <t>PRD-010</t>
  </si>
  <si>
    <t>TXN-0021</t>
  </si>
  <si>
    <t>TXN-0022</t>
  </si>
  <si>
    <t>TXN-0023</t>
  </si>
  <si>
    <t>TXN-0024</t>
  </si>
  <si>
    <t>TXN-0025</t>
  </si>
  <si>
    <t>TXN-0026</t>
  </si>
  <si>
    <t>TXN-0027</t>
  </si>
  <si>
    <t>PRD-016</t>
  </si>
  <si>
    <t>TXN-0028</t>
  </si>
  <si>
    <t>TXN-0029</t>
  </si>
  <si>
    <t>PRD-002</t>
  </si>
  <si>
    <t>TXN-0030</t>
  </si>
  <si>
    <t>TXN-0031</t>
  </si>
  <si>
    <t>TXN-0032</t>
  </si>
  <si>
    <t>TXN-0033</t>
  </si>
  <si>
    <t>PRD-001</t>
  </si>
  <si>
    <t>TXN-0034</t>
  </si>
  <si>
    <t>TXN-0035</t>
  </si>
  <si>
    <t>PRD-011</t>
  </si>
  <si>
    <t>TXN-0036</t>
  </si>
  <si>
    <t>TXN-0037</t>
  </si>
  <si>
    <t>PRD-013</t>
  </si>
  <si>
    <t>TXN-0038</t>
  </si>
  <si>
    <t>TXN-0039</t>
  </si>
  <si>
    <t>TXN-0040</t>
  </si>
  <si>
    <t>TXN-0041</t>
  </si>
  <si>
    <t>TXN-0042</t>
  </si>
  <si>
    <t>PRD-020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</si>
  <si>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</si>
  <si>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</si>
  <si>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</si>
  <si>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</si>
  <si>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</si>
  <si>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</si>
  <si>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</si>
  <si>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</si>
  <si>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</si>
  <si>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</si>
  <si>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</si>
  <si>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</si>
  <si>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</si>
  <si>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</si>
  <si>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</si>
  <si>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</si>
  <si>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</si>
  <si>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</si>
  <si>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</si>
  <si>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PRD-007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</si>
  <si>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</si>
  <si>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</si>
  <si>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</si>
  <si>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</si>
  <si>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</si>
  <si>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</si>
  <si>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</si>
  <si>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</si>
  <si>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</si>
  <si>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</si>
  <si>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</si>
  <si>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</si>
  <si>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</si>
  <si>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</si>
  <si>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</si>
  <si>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</si>
  <si>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</si>
  <si>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</si>
  <si>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</si>
  <si>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</si>
  <si>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</si>
  <si>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</si>
  <si>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</si>
  <si>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</si>
  <si>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</si>
  <si>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</si>
  <si>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</si>
  <si>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</si>
  <si>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</si>
  <si>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</si>
  <si>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</si>
  <si>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</si>
  <si>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</si>
  <si>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</si>
  <si>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</si>
  <si>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</si>
  <si>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</si>
  <si>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</si>
  <si>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</si>
  <si>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</si>
  <si>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</si>
  <si>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</si>
  <si>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</si>
  <si>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</si>
  <si>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</si>
  <si>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</si>
  <si>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</si>
  <si>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</si>
  <si>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</si>
  <si>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</si>
  <si>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</si>
  <si>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</si>
  <si>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</si>
  <si>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</si>
  <si>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</si>
  <si>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</si>
  <si>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</si>
  <si>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</si>
  <si>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</si>
  <si>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VLOOKUP</t>
  </si>
  <si>
    <t>xLOOKUP</t>
  </si>
  <si>
    <t>INDEX+MATCH</t>
  </si>
  <si>
    <t>if</t>
  </si>
  <si>
    <t>ifs</t>
  </si>
  <si>
    <t>1/Sale_Amount</t>
  </si>
  <si>
    <t>How many coustomer needs immediate attentition - find coustomer that are either premium or enterprice and status is pending</t>
  </si>
  <si>
    <t>Needs Attention</t>
  </si>
  <si>
    <t>Find the total revenue generated by "Apparel" in the "International" region.</t>
  </si>
  <si>
    <t>Total Revenue</t>
  </si>
  <si>
    <t>Count exactly how many "Completed" transactions were closed by "Emma Davis".</t>
  </si>
  <si>
    <t>Counts</t>
  </si>
  <si>
    <t>Find the absolute highest sale amount specifically within the "Software" category.</t>
  </si>
  <si>
    <t>MAXIFS-highest sale amount within software</t>
  </si>
  <si>
    <t>Find the lowest sale amount for "Furniture" that was actually "Completed" (ignoring refunds or pending ones).</t>
  </si>
  <si>
    <t>lowest sale amount for "Furniture" that was actually "Completed"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</si>
</sst>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EBF3FB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8" borderId="5" xfId="5" applyFont="1" applyBorder="1" applyAlignment="1">
      <alignment horizontal="center"/>
    </xf>
    <xf numFmtId="0" fontId="5" fillId="8" borderId="6" xfId="5" applyFont="1" applyBorder="1" applyAlignment="1">
      <alignment horizontal="center"/>
    </xf>
    <xf numFmtId="0" fontId="5" fillId="8" borderId="7" xfId="5" applyFont="1" applyBorder="1" applyAlignment="1">
      <alignment horizontal="center"/>
    </xf>
    <xf numFmtId="0" fontId="5" fillId="8" borderId="8" xfId="5" applyFont="1" applyBorder="1" applyAlignment="1">
      <alignment horizontal="center"/>
    </xf>
    <xf numFmtId="0" fontId="5" fillId="8" borderId="9" xfId="5" applyFont="1" applyBorder="1" applyAlignment="1">
      <alignment horizontal="center"/>
    </xf>
    <xf numFmtId="0" fontId="5" fillId="8" borderId="10" xfId="5" applyFont="1" applyBorder="1" applyAlignment="1">
      <alignment horizontal="center"/>
    </xf>
    <xf numFmtId="0" fontId="6" fillId="8" borderId="5" xfId="5" applyFont="1" applyBorder="1" applyAlignment="1">
      <alignment horizontal="center"/>
    </xf>
    <xf numFmtId="0" fontId="6" fillId="8" borderId="6" xfId="5" applyFont="1" applyBorder="1" applyAlignment="1">
      <alignment horizontal="center"/>
    </xf>
    <xf numFmtId="0" fontId="6" fillId="8" borderId="7" xfId="5" applyFont="1" applyBorder="1" applyAlignment="1">
      <alignment horizontal="center"/>
    </xf>
    <xf numFmtId="0" fontId="6" fillId="8" borderId="8" xfId="5" applyFont="1" applyBorder="1" applyAlignment="1">
      <alignment horizontal="center"/>
    </xf>
    <xf numFmtId="0" fontId="6" fillId="8" borderId="9" xfId="5" applyFont="1" applyBorder="1" applyAlignment="1">
      <alignment horizontal="center"/>
    </xf>
    <xf numFmtId="0" fontId="6" fillId="8" borderId="10" xfId="5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8" borderId="1" xfId="5" applyBorder="1" applyAlignment="1">
      <alignment horizontal="center" vertical="center" wrapText="1"/>
    </xf>
    <xf numFmtId="0" fontId="1" fillId="9" borderId="1" xfId="6" applyBorder="1" applyAlignment="1">
      <alignment horizontal="center" vertical="center" wrapText="1"/>
    </xf>
    <xf numFmtId="0" fontId="3" fillId="4" borderId="0" xfId="1"/>
    <xf numFmtId="0" fontId="3" fillId="5" borderId="0" xfId="2" applyAlignment="1">
      <alignment horizontal="center" vertical="center" wrapText="1"/>
    </xf>
    <xf numFmtId="0" fontId="0" fillId="0" borderId="0" xfId="0" applyAlignment="1">
      <alignment wrapText="1"/>
    </xf>
    <xf numFmtId="0" fontId="1" fillId="7" borderId="0" xfId="4" applyAlignment="1">
      <alignment horizontal="center" vertical="center" wrapText="1"/>
    </xf>
    <xf numFmtId="0" fontId="3" fillId="6" borderId="1" xfId="3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7">
    <cellStyle name="60% - Accent4" xfId="4" builtinId="44"/>
    <cellStyle name="60% - Accent6" xfId="6" builtinId="52"/>
    <cellStyle name="Accent2" xfId="1" builtinId="33"/>
    <cellStyle name="Accent3" xfId="2" builtinId="37"/>
    <cellStyle name="Accent4" xfId="3" builtinId="41"/>
    <cellStyle name="Accent5" xfId="5" builtinId="45"/>
    <cellStyle name="Normal" xfId="0" builtinId="0"/>
  </cellStyles>
  <dxfs count="4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121"/>
  <sheetViews>
    <sheetView zoomScaleNormal="100" workbookViewId="0">
      <pane ySplit="1" topLeftCell="A103" activePane="bottomLeft" state="frozen"/>
      <selection pane="bottomLeft" activeCell="J1" activeCellId="1" sqref="F1:G121 J1:J121"/>
    </sheetView>
  </sheetViews>
  <sheetFormatPr defaultColWidth="8.7109375" defaultRowHeight="15" x14ac:dyDescent="0.25"/>
  <cols>
    <col min="1" max="1" width="16.42578125" customWidth="1"/>
    <col min="2" max="2" width="14.28515625" bestFit="1" customWidth="1"/>
    <col min="3" max="3" width="20.85546875" bestFit="1" customWidth="1"/>
    <col min="4" max="4" width="12.5703125" bestFit="1" customWidth="1"/>
    <col min="5" max="5" width="12.28515625" bestFit="1" customWidth="1"/>
    <col min="6" max="6" width="10.5703125" bestFit="1" customWidth="1"/>
    <col min="7" max="7" width="14.28515625" bestFit="1" customWidth="1"/>
    <col min="8" max="8" width="12.140625" bestFit="1" customWidth="1"/>
    <col min="9" max="9" width="17.28515625" bestFit="1" customWidth="1"/>
    <col min="10" max="10" width="20.85546875" bestFit="1" customWidth="1"/>
  </cols>
  <sheetData>
    <row r="1" spans="1:10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820.27</v>
      </c>
      <c r="H2" s="4">
        <v>45432</v>
      </c>
      <c r="I2" s="2" t="s">
        <v>16</v>
      </c>
      <c r="J2" s="2" t="s">
        <v>17</v>
      </c>
    </row>
    <row r="3" spans="1:10" ht="15" customHeight="1" x14ac:dyDescent="0.25">
      <c r="A3" s="5" t="s">
        <v>18</v>
      </c>
      <c r="B3" s="5" t="s">
        <v>11</v>
      </c>
      <c r="C3" s="5" t="s">
        <v>12</v>
      </c>
      <c r="D3" s="5" t="s">
        <v>19</v>
      </c>
      <c r="E3" s="5" t="s">
        <v>20</v>
      </c>
      <c r="F3" s="5" t="s">
        <v>15</v>
      </c>
      <c r="G3" s="6">
        <v>14844.21</v>
      </c>
      <c r="H3" s="7">
        <v>45308</v>
      </c>
      <c r="I3" s="5" t="s">
        <v>21</v>
      </c>
      <c r="J3" s="5" t="s">
        <v>17</v>
      </c>
    </row>
    <row r="4" spans="1:10" ht="15" customHeight="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15</v>
      </c>
      <c r="G4" s="3">
        <v>858.09</v>
      </c>
      <c r="H4" s="4">
        <v>45393</v>
      </c>
      <c r="I4" s="2" t="s">
        <v>27</v>
      </c>
      <c r="J4" s="2" t="s">
        <v>17</v>
      </c>
    </row>
    <row r="5" spans="1:10" ht="15" customHeight="1" x14ac:dyDescent="0.25">
      <c r="A5" s="5" t="s">
        <v>28</v>
      </c>
      <c r="B5" s="5" t="s">
        <v>29</v>
      </c>
      <c r="C5" s="5" t="s">
        <v>30</v>
      </c>
      <c r="D5" s="5" t="s">
        <v>13</v>
      </c>
      <c r="E5" s="5" t="s">
        <v>26</v>
      </c>
      <c r="F5" s="5" t="s">
        <v>31</v>
      </c>
      <c r="G5" s="6">
        <v>20273.88</v>
      </c>
      <c r="H5" s="7">
        <v>45295</v>
      </c>
      <c r="I5" s="5" t="s">
        <v>32</v>
      </c>
      <c r="J5" s="5" t="s">
        <v>33</v>
      </c>
    </row>
    <row r="6" spans="1:10" ht="15" customHeight="1" x14ac:dyDescent="0.25">
      <c r="A6" s="2" t="s">
        <v>34</v>
      </c>
      <c r="B6" s="2" t="s">
        <v>35</v>
      </c>
      <c r="C6" s="2" t="s">
        <v>36</v>
      </c>
      <c r="D6" s="2" t="s">
        <v>19</v>
      </c>
      <c r="E6" s="2" t="s">
        <v>20</v>
      </c>
      <c r="F6" s="2" t="s">
        <v>37</v>
      </c>
      <c r="G6" s="3">
        <v>23938.880000000001</v>
      </c>
      <c r="H6" s="4">
        <v>45464</v>
      </c>
      <c r="I6" s="2" t="s">
        <v>16</v>
      </c>
      <c r="J6" s="2" t="s">
        <v>33</v>
      </c>
    </row>
    <row r="7" spans="1:10" ht="15" customHeight="1" x14ac:dyDescent="0.25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>
        <v>15172.41</v>
      </c>
      <c r="H7" s="7">
        <v>45314</v>
      </c>
      <c r="I7" s="5" t="s">
        <v>27</v>
      </c>
      <c r="J7" s="5" t="s">
        <v>33</v>
      </c>
    </row>
    <row r="8" spans="1:10" ht="15" customHeight="1" x14ac:dyDescent="0.25">
      <c r="A8" s="2" t="s">
        <v>44</v>
      </c>
      <c r="B8" s="2" t="s">
        <v>45</v>
      </c>
      <c r="C8" s="2" t="s">
        <v>46</v>
      </c>
      <c r="D8" s="2" t="s">
        <v>25</v>
      </c>
      <c r="E8" s="2" t="s">
        <v>47</v>
      </c>
      <c r="F8" s="2" t="s">
        <v>48</v>
      </c>
      <c r="G8" s="3">
        <v>7470.82</v>
      </c>
      <c r="H8" s="4">
        <v>45613</v>
      </c>
      <c r="I8" s="2" t="s">
        <v>21</v>
      </c>
      <c r="J8" s="2" t="s">
        <v>33</v>
      </c>
    </row>
    <row r="9" spans="1:10" ht="15" customHeight="1" x14ac:dyDescent="0.25">
      <c r="A9" s="5" t="s">
        <v>49</v>
      </c>
      <c r="B9" s="5" t="s">
        <v>50</v>
      </c>
      <c r="C9" s="5" t="s">
        <v>51</v>
      </c>
      <c r="D9" s="5" t="s">
        <v>19</v>
      </c>
      <c r="E9" s="5" t="s">
        <v>14</v>
      </c>
      <c r="F9" s="5" t="s">
        <v>43</v>
      </c>
      <c r="G9" s="6">
        <v>16599.330000000002</v>
      </c>
      <c r="H9" s="7">
        <v>45440</v>
      </c>
      <c r="I9" s="5" t="s">
        <v>27</v>
      </c>
      <c r="J9" s="5" t="s">
        <v>33</v>
      </c>
    </row>
    <row r="10" spans="1:10" ht="15" customHeight="1" x14ac:dyDescent="0.25">
      <c r="A10" s="2" t="s">
        <v>52</v>
      </c>
      <c r="B10" s="2" t="s">
        <v>53</v>
      </c>
      <c r="C10" s="2" t="s">
        <v>54</v>
      </c>
      <c r="D10" s="2" t="s">
        <v>13</v>
      </c>
      <c r="E10" s="2" t="s">
        <v>47</v>
      </c>
      <c r="F10" s="2" t="s">
        <v>31</v>
      </c>
      <c r="G10" s="3">
        <v>15964.97</v>
      </c>
      <c r="H10" s="4">
        <v>45478</v>
      </c>
      <c r="I10" s="2" t="s">
        <v>21</v>
      </c>
      <c r="J10" s="2" t="s">
        <v>33</v>
      </c>
    </row>
    <row r="11" spans="1:10" ht="15" customHeight="1" x14ac:dyDescent="0.25">
      <c r="A11" s="5" t="s">
        <v>55</v>
      </c>
      <c r="B11" s="5" t="s">
        <v>11</v>
      </c>
      <c r="C11" s="5" t="s">
        <v>12</v>
      </c>
      <c r="D11" s="5" t="s">
        <v>25</v>
      </c>
      <c r="E11" s="5" t="s">
        <v>14</v>
      </c>
      <c r="F11" s="5" t="s">
        <v>15</v>
      </c>
      <c r="G11" s="6">
        <v>15306.45</v>
      </c>
      <c r="H11" s="7">
        <v>45379</v>
      </c>
      <c r="I11" s="5" t="s">
        <v>27</v>
      </c>
      <c r="J11" s="5" t="s">
        <v>56</v>
      </c>
    </row>
    <row r="12" spans="1:10" ht="15" customHeight="1" x14ac:dyDescent="0.25">
      <c r="A12" s="2" t="s">
        <v>57</v>
      </c>
      <c r="B12" s="2" t="s">
        <v>29</v>
      </c>
      <c r="C12" s="2" t="s">
        <v>30</v>
      </c>
      <c r="D12" s="2" t="s">
        <v>25</v>
      </c>
      <c r="E12" s="2" t="s">
        <v>14</v>
      </c>
      <c r="F12" s="2" t="s">
        <v>31</v>
      </c>
      <c r="G12" s="3">
        <v>24740.18</v>
      </c>
      <c r="H12" s="4">
        <v>45619</v>
      </c>
      <c r="I12" s="2" t="s">
        <v>16</v>
      </c>
      <c r="J12" s="2" t="s">
        <v>33</v>
      </c>
    </row>
    <row r="13" spans="1:10" ht="15" customHeight="1" x14ac:dyDescent="0.25">
      <c r="A13" s="5" t="s">
        <v>58</v>
      </c>
      <c r="B13" s="5" t="s">
        <v>50</v>
      </c>
      <c r="C13" s="5" t="s">
        <v>51</v>
      </c>
      <c r="D13" s="5" t="s">
        <v>59</v>
      </c>
      <c r="E13" s="5" t="s">
        <v>20</v>
      </c>
      <c r="F13" s="5" t="s">
        <v>15</v>
      </c>
      <c r="G13" s="6">
        <v>20165.14</v>
      </c>
      <c r="H13" s="7">
        <v>45497</v>
      </c>
      <c r="I13" s="5" t="s">
        <v>32</v>
      </c>
      <c r="J13" s="5" t="s">
        <v>33</v>
      </c>
    </row>
    <row r="14" spans="1:10" ht="15" customHeight="1" x14ac:dyDescent="0.25">
      <c r="A14" s="2" t="s">
        <v>60</v>
      </c>
      <c r="B14" s="2" t="s">
        <v>53</v>
      </c>
      <c r="C14" s="2" t="s">
        <v>54</v>
      </c>
      <c r="D14" s="2" t="s">
        <v>41</v>
      </c>
      <c r="E14" s="2" t="s">
        <v>61</v>
      </c>
      <c r="F14" s="2" t="s">
        <v>31</v>
      </c>
      <c r="G14" s="3">
        <v>10011.67</v>
      </c>
      <c r="H14" s="4">
        <v>45621</v>
      </c>
      <c r="I14" s="2" t="s">
        <v>21</v>
      </c>
      <c r="J14" s="2" t="s">
        <v>33</v>
      </c>
    </row>
    <row r="15" spans="1:10" ht="15" customHeight="1" x14ac:dyDescent="0.25">
      <c r="A15" s="5" t="s">
        <v>62</v>
      </c>
      <c r="B15" s="5" t="s">
        <v>45</v>
      </c>
      <c r="C15" s="5" t="s">
        <v>46</v>
      </c>
      <c r="D15" s="5" t="s">
        <v>41</v>
      </c>
      <c r="E15" s="5" t="s">
        <v>63</v>
      </c>
      <c r="F15" s="5" t="s">
        <v>37</v>
      </c>
      <c r="G15" s="6">
        <v>13566.64</v>
      </c>
      <c r="H15" s="7">
        <v>45591</v>
      </c>
      <c r="I15" s="5" t="s">
        <v>32</v>
      </c>
      <c r="J15" s="5" t="s">
        <v>33</v>
      </c>
    </row>
    <row r="16" spans="1:10" ht="15" customHeight="1" x14ac:dyDescent="0.25">
      <c r="A16" s="2" t="s">
        <v>64</v>
      </c>
      <c r="B16" s="2" t="s">
        <v>65</v>
      </c>
      <c r="C16" s="2" t="s">
        <v>66</v>
      </c>
      <c r="D16" s="2" t="s">
        <v>19</v>
      </c>
      <c r="E16" s="2" t="s">
        <v>67</v>
      </c>
      <c r="F16" s="2" t="s">
        <v>15</v>
      </c>
      <c r="G16" s="3">
        <v>12836.25</v>
      </c>
      <c r="H16" s="4">
        <v>45338</v>
      </c>
      <c r="I16" s="2" t="s">
        <v>21</v>
      </c>
      <c r="J16" s="2" t="s">
        <v>56</v>
      </c>
    </row>
    <row r="17" spans="1:10" ht="15" customHeight="1" x14ac:dyDescent="0.25">
      <c r="A17" s="5" t="s">
        <v>68</v>
      </c>
      <c r="B17" s="5" t="s">
        <v>23</v>
      </c>
      <c r="C17" s="5" t="s">
        <v>24</v>
      </c>
      <c r="D17" s="5" t="s">
        <v>25</v>
      </c>
      <c r="E17" s="5" t="s">
        <v>69</v>
      </c>
      <c r="F17" s="5" t="s">
        <v>48</v>
      </c>
      <c r="G17" s="6">
        <v>1775.49</v>
      </c>
      <c r="H17" s="7">
        <v>45487</v>
      </c>
      <c r="I17" s="5" t="s">
        <v>32</v>
      </c>
      <c r="J17" s="5" t="s">
        <v>17</v>
      </c>
    </row>
    <row r="18" spans="1:10" ht="15" customHeight="1" x14ac:dyDescent="0.25">
      <c r="A18" s="2" t="s">
        <v>70</v>
      </c>
      <c r="B18" s="2" t="s">
        <v>50</v>
      </c>
      <c r="C18" s="2" t="s">
        <v>51</v>
      </c>
      <c r="D18" s="2" t="s">
        <v>25</v>
      </c>
      <c r="E18" s="2" t="s">
        <v>71</v>
      </c>
      <c r="F18" s="2" t="s">
        <v>31</v>
      </c>
      <c r="G18" s="3">
        <v>17071.03</v>
      </c>
      <c r="H18" s="4">
        <v>45350</v>
      </c>
      <c r="I18" s="2" t="s">
        <v>16</v>
      </c>
      <c r="J18" s="2" t="s">
        <v>33</v>
      </c>
    </row>
    <row r="19" spans="1:10" ht="15" customHeight="1" x14ac:dyDescent="0.25">
      <c r="A19" s="5" t="s">
        <v>72</v>
      </c>
      <c r="B19" s="5" t="s">
        <v>73</v>
      </c>
      <c r="C19" s="5" t="s">
        <v>74</v>
      </c>
      <c r="D19" s="5" t="s">
        <v>59</v>
      </c>
      <c r="E19" s="5" t="s">
        <v>75</v>
      </c>
      <c r="F19" s="5" t="s">
        <v>15</v>
      </c>
      <c r="G19" s="6">
        <v>4122.3100000000004</v>
      </c>
      <c r="H19" s="7">
        <v>45293</v>
      </c>
      <c r="I19" s="5" t="s">
        <v>16</v>
      </c>
      <c r="J19" s="5" t="s">
        <v>33</v>
      </c>
    </row>
    <row r="20" spans="1:10" ht="15" customHeight="1" x14ac:dyDescent="0.25">
      <c r="A20" s="2" t="s">
        <v>76</v>
      </c>
      <c r="B20" s="2" t="s">
        <v>45</v>
      </c>
      <c r="C20" s="2" t="s">
        <v>46</v>
      </c>
      <c r="D20" s="2" t="s">
        <v>59</v>
      </c>
      <c r="E20" s="2" t="s">
        <v>77</v>
      </c>
      <c r="F20" s="2" t="s">
        <v>48</v>
      </c>
      <c r="G20" s="3">
        <v>0</v>
      </c>
      <c r="H20" s="4">
        <v>45370</v>
      </c>
      <c r="I20" s="2" t="s">
        <v>16</v>
      </c>
      <c r="J20" s="2" t="s">
        <v>17</v>
      </c>
    </row>
    <row r="21" spans="1:10" ht="15" customHeight="1" x14ac:dyDescent="0.25">
      <c r="A21" s="5" t="s">
        <v>78</v>
      </c>
      <c r="B21" s="5" t="s">
        <v>39</v>
      </c>
      <c r="C21" s="5" t="s">
        <v>40</v>
      </c>
      <c r="D21" s="5" t="s">
        <v>59</v>
      </c>
      <c r="E21" s="5" t="s">
        <v>79</v>
      </c>
      <c r="F21" s="5" t="s">
        <v>15</v>
      </c>
      <c r="G21" s="6">
        <v>12317.42</v>
      </c>
      <c r="H21" s="7">
        <v>45349</v>
      </c>
      <c r="I21" s="5" t="s">
        <v>16</v>
      </c>
      <c r="J21" s="5" t="s">
        <v>33</v>
      </c>
    </row>
    <row r="22" spans="1:10" ht="15" customHeight="1" x14ac:dyDescent="0.25">
      <c r="A22" s="2" t="s">
        <v>80</v>
      </c>
      <c r="B22" s="2" t="s">
        <v>23</v>
      </c>
      <c r="C22" s="2" t="s">
        <v>24</v>
      </c>
      <c r="D22" s="2" t="s">
        <v>41</v>
      </c>
      <c r="E22" s="2" t="s">
        <v>20</v>
      </c>
      <c r="F22" s="2" t="s">
        <v>48</v>
      </c>
      <c r="G22" s="3">
        <v>23684.35</v>
      </c>
      <c r="H22" s="4">
        <v>45335</v>
      </c>
      <c r="I22" s="2" t="s">
        <v>21</v>
      </c>
      <c r="J22" s="2" t="s">
        <v>33</v>
      </c>
    </row>
    <row r="23" spans="1:10" ht="15" customHeight="1" x14ac:dyDescent="0.25">
      <c r="A23" s="5" t="s">
        <v>81</v>
      </c>
      <c r="B23" s="5" t="s">
        <v>53</v>
      </c>
      <c r="C23" s="5" t="s">
        <v>54</v>
      </c>
      <c r="D23" s="5" t="s">
        <v>59</v>
      </c>
      <c r="E23" s="5" t="s">
        <v>75</v>
      </c>
      <c r="F23" s="5" t="s">
        <v>48</v>
      </c>
      <c r="G23" s="6">
        <v>23681.85</v>
      </c>
      <c r="H23" s="7">
        <v>45376</v>
      </c>
      <c r="I23" s="5" t="s">
        <v>27</v>
      </c>
      <c r="J23" s="5" t="s">
        <v>33</v>
      </c>
    </row>
    <row r="24" spans="1:10" ht="15" customHeight="1" x14ac:dyDescent="0.25">
      <c r="A24" s="2" t="s">
        <v>82</v>
      </c>
      <c r="B24" s="2" t="s">
        <v>45</v>
      </c>
      <c r="C24" s="2" t="s">
        <v>46</v>
      </c>
      <c r="D24" s="2" t="s">
        <v>13</v>
      </c>
      <c r="E24" s="2" t="s">
        <v>79</v>
      </c>
      <c r="F24" s="2" t="s">
        <v>37</v>
      </c>
      <c r="G24" s="3">
        <v>18930.580000000002</v>
      </c>
      <c r="H24" s="4">
        <v>45645</v>
      </c>
      <c r="I24" s="2" t="s">
        <v>32</v>
      </c>
      <c r="J24" s="2" t="s">
        <v>56</v>
      </c>
    </row>
    <row r="25" spans="1:10" ht="15" customHeight="1" x14ac:dyDescent="0.25">
      <c r="A25" s="5" t="s">
        <v>83</v>
      </c>
      <c r="B25" s="5" t="s">
        <v>45</v>
      </c>
      <c r="C25" s="5" t="s">
        <v>46</v>
      </c>
      <c r="D25" s="5" t="s">
        <v>13</v>
      </c>
      <c r="E25" s="5" t="s">
        <v>20</v>
      </c>
      <c r="F25" s="5" t="s">
        <v>31</v>
      </c>
      <c r="G25" s="6">
        <v>11396.86</v>
      </c>
      <c r="H25" s="7">
        <v>45418</v>
      </c>
      <c r="I25" s="5" t="s">
        <v>16</v>
      </c>
      <c r="J25" s="5" t="s">
        <v>17</v>
      </c>
    </row>
    <row r="26" spans="1:10" ht="15" customHeight="1" x14ac:dyDescent="0.25">
      <c r="A26" s="2" t="s">
        <v>84</v>
      </c>
      <c r="B26" s="2" t="s">
        <v>45</v>
      </c>
      <c r="C26" s="2" t="s">
        <v>46</v>
      </c>
      <c r="D26" s="2" t="s">
        <v>19</v>
      </c>
      <c r="E26" s="2" t="s">
        <v>20</v>
      </c>
      <c r="F26" s="2" t="s">
        <v>43</v>
      </c>
      <c r="G26" s="3">
        <v>5906.85</v>
      </c>
      <c r="H26" s="4">
        <v>45404</v>
      </c>
      <c r="I26" s="2" t="s">
        <v>21</v>
      </c>
      <c r="J26" s="2" t="s">
        <v>33</v>
      </c>
    </row>
    <row r="27" spans="1:10" ht="15" customHeight="1" x14ac:dyDescent="0.25">
      <c r="A27" s="5" t="s">
        <v>85</v>
      </c>
      <c r="B27" s="5" t="s">
        <v>50</v>
      </c>
      <c r="C27" s="5" t="s">
        <v>51</v>
      </c>
      <c r="D27" s="5" t="s">
        <v>25</v>
      </c>
      <c r="E27" s="5" t="s">
        <v>14</v>
      </c>
      <c r="F27" s="5" t="s">
        <v>31</v>
      </c>
      <c r="G27" s="6">
        <v>21518.959999999999</v>
      </c>
      <c r="H27" s="7">
        <v>45328</v>
      </c>
      <c r="I27" s="5" t="s">
        <v>27</v>
      </c>
      <c r="J27" s="5" t="s">
        <v>33</v>
      </c>
    </row>
    <row r="28" spans="1:10" ht="15" customHeight="1" x14ac:dyDescent="0.25">
      <c r="A28" s="2" t="s">
        <v>86</v>
      </c>
      <c r="B28" s="2" t="s">
        <v>45</v>
      </c>
      <c r="C28" s="2" t="s">
        <v>46</v>
      </c>
      <c r="D28" s="2" t="s">
        <v>25</v>
      </c>
      <c r="E28" s="2" t="s">
        <v>87</v>
      </c>
      <c r="F28" s="2" t="s">
        <v>15</v>
      </c>
      <c r="G28" s="3">
        <v>3481.33</v>
      </c>
      <c r="H28" s="4">
        <v>45584</v>
      </c>
      <c r="I28" s="2" t="s">
        <v>27</v>
      </c>
      <c r="J28" s="2" t="s">
        <v>56</v>
      </c>
    </row>
    <row r="29" spans="1:10" ht="15" customHeight="1" x14ac:dyDescent="0.25">
      <c r="A29" s="5" t="s">
        <v>88</v>
      </c>
      <c r="B29" s="5" t="s">
        <v>35</v>
      </c>
      <c r="C29" s="5" t="s">
        <v>36</v>
      </c>
      <c r="D29" s="5" t="s">
        <v>41</v>
      </c>
      <c r="E29" s="5" t="s">
        <v>47</v>
      </c>
      <c r="F29" s="5" t="s">
        <v>37</v>
      </c>
      <c r="G29" s="6">
        <v>2539.2800000000002</v>
      </c>
      <c r="H29" s="7">
        <v>45629</v>
      </c>
      <c r="I29" s="5" t="s">
        <v>27</v>
      </c>
      <c r="J29" s="5" t="s">
        <v>56</v>
      </c>
    </row>
    <row r="30" spans="1:10" ht="15" customHeight="1" x14ac:dyDescent="0.25">
      <c r="A30" s="2" t="s">
        <v>89</v>
      </c>
      <c r="B30" s="2" t="s">
        <v>50</v>
      </c>
      <c r="C30" s="2" t="s">
        <v>51</v>
      </c>
      <c r="D30" s="2" t="s">
        <v>19</v>
      </c>
      <c r="E30" s="2" t="s">
        <v>90</v>
      </c>
      <c r="F30" s="2" t="s">
        <v>37</v>
      </c>
      <c r="G30" s="3">
        <v>16899.439999999999</v>
      </c>
      <c r="H30" s="4">
        <v>45622</v>
      </c>
      <c r="I30" s="2" t="s">
        <v>32</v>
      </c>
      <c r="J30" s="2" t="s">
        <v>33</v>
      </c>
    </row>
    <row r="31" spans="1:10" ht="15" customHeight="1" x14ac:dyDescent="0.25">
      <c r="A31" s="5" t="s">
        <v>91</v>
      </c>
      <c r="B31" s="5" t="s">
        <v>35</v>
      </c>
      <c r="C31" s="5" t="s">
        <v>36</v>
      </c>
      <c r="D31" s="5" t="s">
        <v>41</v>
      </c>
      <c r="E31" s="5" t="s">
        <v>61</v>
      </c>
      <c r="F31" s="5" t="s">
        <v>37</v>
      </c>
      <c r="G31" s="6">
        <v>4951.43</v>
      </c>
      <c r="H31" s="7">
        <v>45566</v>
      </c>
      <c r="I31" s="5" t="s">
        <v>21</v>
      </c>
      <c r="J31" s="5" t="s">
        <v>33</v>
      </c>
    </row>
    <row r="32" spans="1:10" ht="15" customHeight="1" x14ac:dyDescent="0.25">
      <c r="A32" s="2" t="s">
        <v>92</v>
      </c>
      <c r="B32" s="2" t="s">
        <v>53</v>
      </c>
      <c r="C32" s="2" t="s">
        <v>54</v>
      </c>
      <c r="D32" s="2" t="s">
        <v>41</v>
      </c>
      <c r="E32" s="2" t="s">
        <v>42</v>
      </c>
      <c r="F32" s="2" t="s">
        <v>43</v>
      </c>
      <c r="G32" s="3">
        <v>6395.2</v>
      </c>
      <c r="H32" s="4">
        <v>45330</v>
      </c>
      <c r="I32" s="2" t="s">
        <v>16</v>
      </c>
      <c r="J32" s="2" t="s">
        <v>17</v>
      </c>
    </row>
    <row r="33" spans="1:10" ht="15" customHeight="1" x14ac:dyDescent="0.25">
      <c r="A33" s="5" t="s">
        <v>93</v>
      </c>
      <c r="B33" s="5" t="s">
        <v>50</v>
      </c>
      <c r="C33" s="5" t="s">
        <v>51</v>
      </c>
      <c r="D33" s="5" t="s">
        <v>13</v>
      </c>
      <c r="E33" s="5" t="s">
        <v>26</v>
      </c>
      <c r="F33" s="5" t="s">
        <v>37</v>
      </c>
      <c r="G33" s="6">
        <v>24231.11</v>
      </c>
      <c r="H33" s="7">
        <v>45413</v>
      </c>
      <c r="I33" s="5" t="s">
        <v>27</v>
      </c>
      <c r="J33" s="5" t="s">
        <v>33</v>
      </c>
    </row>
    <row r="34" spans="1:10" ht="15" customHeight="1" x14ac:dyDescent="0.25">
      <c r="A34" s="2" t="s">
        <v>94</v>
      </c>
      <c r="B34" s="2" t="s">
        <v>73</v>
      </c>
      <c r="C34" s="2" t="s">
        <v>74</v>
      </c>
      <c r="D34" s="2" t="s">
        <v>41</v>
      </c>
      <c r="E34" s="2" t="s">
        <v>95</v>
      </c>
      <c r="F34" s="2" t="s">
        <v>37</v>
      </c>
      <c r="G34" s="3">
        <v>22580.58</v>
      </c>
      <c r="H34" s="4">
        <v>45376</v>
      </c>
      <c r="I34" s="2" t="s">
        <v>32</v>
      </c>
      <c r="J34" s="2" t="s">
        <v>56</v>
      </c>
    </row>
    <row r="35" spans="1:10" ht="15" customHeight="1" x14ac:dyDescent="0.25">
      <c r="A35" s="5" t="s">
        <v>96</v>
      </c>
      <c r="B35" s="5" t="s">
        <v>29</v>
      </c>
      <c r="C35" s="5" t="s">
        <v>30</v>
      </c>
      <c r="D35" s="5" t="s">
        <v>41</v>
      </c>
      <c r="E35" s="5" t="s">
        <v>61</v>
      </c>
      <c r="F35" s="5" t="s">
        <v>15</v>
      </c>
      <c r="G35" s="6">
        <v>10690.59</v>
      </c>
      <c r="H35" s="7">
        <v>45576</v>
      </c>
      <c r="I35" s="5" t="s">
        <v>32</v>
      </c>
      <c r="J35" s="5" t="s">
        <v>33</v>
      </c>
    </row>
    <row r="36" spans="1:10" ht="15" customHeight="1" x14ac:dyDescent="0.25">
      <c r="A36" s="2" t="s">
        <v>97</v>
      </c>
      <c r="B36" s="2" t="s">
        <v>50</v>
      </c>
      <c r="C36" s="2" t="s">
        <v>51</v>
      </c>
      <c r="D36" s="2" t="s">
        <v>19</v>
      </c>
      <c r="E36" s="2" t="s">
        <v>98</v>
      </c>
      <c r="F36" s="2" t="s">
        <v>43</v>
      </c>
      <c r="G36" s="3">
        <v>14563.67</v>
      </c>
      <c r="H36" s="4">
        <v>45569</v>
      </c>
      <c r="I36" s="2" t="s">
        <v>16</v>
      </c>
      <c r="J36" s="2" t="s">
        <v>17</v>
      </c>
    </row>
    <row r="37" spans="1:10" ht="15" customHeight="1" x14ac:dyDescent="0.25">
      <c r="A37" s="5" t="s">
        <v>99</v>
      </c>
      <c r="B37" s="5" t="s">
        <v>53</v>
      </c>
      <c r="C37" s="5" t="s">
        <v>54</v>
      </c>
      <c r="D37" s="5" t="s">
        <v>13</v>
      </c>
      <c r="E37" s="5" t="s">
        <v>90</v>
      </c>
      <c r="F37" s="5" t="s">
        <v>48</v>
      </c>
      <c r="G37" s="6">
        <v>12670.69</v>
      </c>
      <c r="H37" s="7">
        <v>45563</v>
      </c>
      <c r="I37" s="5" t="s">
        <v>16</v>
      </c>
      <c r="J37" s="5" t="s">
        <v>33</v>
      </c>
    </row>
    <row r="38" spans="1:10" ht="15" customHeight="1" x14ac:dyDescent="0.25">
      <c r="A38" s="2" t="s">
        <v>100</v>
      </c>
      <c r="B38" s="2" t="s">
        <v>11</v>
      </c>
      <c r="C38" s="2" t="s">
        <v>12</v>
      </c>
      <c r="D38" s="2" t="s">
        <v>13</v>
      </c>
      <c r="E38" s="2" t="s">
        <v>101</v>
      </c>
      <c r="F38" s="2" t="s">
        <v>43</v>
      </c>
      <c r="G38" s="3">
        <v>14956.87</v>
      </c>
      <c r="H38" s="4">
        <v>45637</v>
      </c>
      <c r="I38" s="2" t="s">
        <v>21</v>
      </c>
      <c r="J38" s="2" t="s">
        <v>17</v>
      </c>
    </row>
    <row r="39" spans="1:10" ht="15" customHeight="1" x14ac:dyDescent="0.25">
      <c r="A39" s="5" t="s">
        <v>102</v>
      </c>
      <c r="B39" s="5" t="s">
        <v>23</v>
      </c>
      <c r="C39" s="5" t="s">
        <v>24</v>
      </c>
      <c r="D39" s="5" t="s">
        <v>41</v>
      </c>
      <c r="E39" s="5" t="s">
        <v>63</v>
      </c>
      <c r="F39" s="5" t="s">
        <v>48</v>
      </c>
      <c r="G39" s="6">
        <v>1185.5899999999999</v>
      </c>
      <c r="H39" s="7">
        <v>45333</v>
      </c>
      <c r="I39" s="5" t="s">
        <v>32</v>
      </c>
      <c r="J39" s="5" t="s">
        <v>33</v>
      </c>
    </row>
    <row r="40" spans="1:10" ht="15" customHeight="1" x14ac:dyDescent="0.25">
      <c r="A40" s="2" t="s">
        <v>103</v>
      </c>
      <c r="B40" s="2" t="s">
        <v>35</v>
      </c>
      <c r="C40" s="2" t="s">
        <v>36</v>
      </c>
      <c r="D40" s="2" t="s">
        <v>13</v>
      </c>
      <c r="E40" s="2" t="s">
        <v>71</v>
      </c>
      <c r="F40" s="2" t="s">
        <v>37</v>
      </c>
      <c r="G40" s="3">
        <v>0</v>
      </c>
      <c r="H40" s="4">
        <v>45452</v>
      </c>
      <c r="I40" s="2" t="s">
        <v>21</v>
      </c>
      <c r="J40" s="2" t="s">
        <v>33</v>
      </c>
    </row>
    <row r="41" spans="1:10" ht="15" customHeight="1" x14ac:dyDescent="0.25">
      <c r="A41" s="5" t="s">
        <v>104</v>
      </c>
      <c r="B41" s="5" t="s">
        <v>53</v>
      </c>
      <c r="C41" s="5" t="s">
        <v>54</v>
      </c>
      <c r="D41" s="5" t="s">
        <v>19</v>
      </c>
      <c r="E41" s="5" t="s">
        <v>69</v>
      </c>
      <c r="F41" s="5" t="s">
        <v>48</v>
      </c>
      <c r="G41" s="6">
        <v>8041.19</v>
      </c>
      <c r="H41" s="7">
        <v>45329</v>
      </c>
      <c r="I41" s="5" t="s">
        <v>16</v>
      </c>
      <c r="J41" s="5" t="s">
        <v>33</v>
      </c>
    </row>
    <row r="42" spans="1:10" ht="15" customHeight="1" x14ac:dyDescent="0.25">
      <c r="A42" s="2" t="s">
        <v>105</v>
      </c>
      <c r="B42" s="2" t="s">
        <v>45</v>
      </c>
      <c r="C42" s="2" t="s">
        <v>46</v>
      </c>
      <c r="D42" s="2" t="s">
        <v>13</v>
      </c>
      <c r="E42" s="2" t="s">
        <v>47</v>
      </c>
      <c r="F42" s="2" t="s">
        <v>43</v>
      </c>
      <c r="G42" s="3">
        <v>5486.23</v>
      </c>
      <c r="H42" s="4">
        <v>45427</v>
      </c>
      <c r="I42" s="2" t="s">
        <v>21</v>
      </c>
      <c r="J42" s="2" t="s">
        <v>33</v>
      </c>
    </row>
    <row r="43" spans="1:10" ht="15" customHeight="1" x14ac:dyDescent="0.25">
      <c r="A43" s="5" t="s">
        <v>106</v>
      </c>
      <c r="B43" s="5" t="s">
        <v>29</v>
      </c>
      <c r="C43" s="5" t="s">
        <v>30</v>
      </c>
      <c r="D43" s="5" t="s">
        <v>59</v>
      </c>
      <c r="E43" s="5" t="s">
        <v>107</v>
      </c>
      <c r="F43" s="5" t="s">
        <v>48</v>
      </c>
      <c r="G43" s="6">
        <v>4112.12</v>
      </c>
      <c r="H43" s="7">
        <v>45570</v>
      </c>
      <c r="I43" s="5" t="s">
        <v>16</v>
      </c>
      <c r="J43" s="5" t="s">
        <v>17</v>
      </c>
    </row>
    <row r="44" spans="1:10" ht="15" customHeight="1" x14ac:dyDescent="0.25">
      <c r="A44" s="2" t="s">
        <v>108</v>
      </c>
      <c r="B44" s="2" t="s">
        <v>29</v>
      </c>
      <c r="C44" s="2" t="s">
        <v>30</v>
      </c>
      <c r="D44" s="2" t="s">
        <v>13</v>
      </c>
      <c r="E44" s="2" t="s">
        <v>71</v>
      </c>
      <c r="F44" s="2" t="s">
        <v>43</v>
      </c>
      <c r="G44" s="3">
        <v>23307.55</v>
      </c>
      <c r="H44" s="4">
        <v>45345</v>
      </c>
      <c r="I44" s="2" t="s">
        <v>16</v>
      </c>
      <c r="J44" s="2" t="s">
        <v>17</v>
      </c>
    </row>
    <row r="45" spans="1:10" ht="15" customHeight="1" x14ac:dyDescent="0.25">
      <c r="A45" s="5" t="s">
        <v>109</v>
      </c>
      <c r="B45" s="5" t="s">
        <v>65</v>
      </c>
      <c r="C45" s="5" t="s">
        <v>66</v>
      </c>
      <c r="D45" s="5" t="s">
        <v>13</v>
      </c>
      <c r="E45" s="5" t="s">
        <v>98</v>
      </c>
      <c r="F45" s="5" t="s">
        <v>15</v>
      </c>
      <c r="G45" s="6">
        <v>6954.24</v>
      </c>
      <c r="H45" s="7">
        <v>45601</v>
      </c>
      <c r="I45" s="5" t="s">
        <v>32</v>
      </c>
      <c r="J45" s="5" t="s">
        <v>17</v>
      </c>
    </row>
    <row r="46" spans="1:10" ht="15" customHeight="1" x14ac:dyDescent="0.25">
      <c r="A46" s="2" t="s">
        <v>110</v>
      </c>
      <c r="B46" s="2" t="s">
        <v>53</v>
      </c>
      <c r="C46" s="2" t="s">
        <v>54</v>
      </c>
      <c r="D46" s="2" t="s">
        <v>19</v>
      </c>
      <c r="E46" s="2" t="s">
        <v>26</v>
      </c>
      <c r="F46" s="2" t="s">
        <v>31</v>
      </c>
      <c r="G46" s="3">
        <v>6427.81</v>
      </c>
      <c r="H46" s="4">
        <v>45318</v>
      </c>
      <c r="I46" s="2" t="s">
        <v>16</v>
      </c>
      <c r="J46" s="2" t="s">
        <v>33</v>
      </c>
    </row>
    <row r="47" spans="1:10" ht="15" customHeight="1" x14ac:dyDescent="0.25">
      <c r="A47" s="5" t="s">
        <v>111</v>
      </c>
      <c r="B47" s="5" t="s">
        <v>39</v>
      </c>
      <c r="C47" s="5" t="s">
        <v>40</v>
      </c>
      <c r="D47" s="5" t="s">
        <v>59</v>
      </c>
      <c r="E47" s="5" t="s">
        <v>77</v>
      </c>
      <c r="F47" s="5" t="s">
        <v>37</v>
      </c>
      <c r="G47" s="6">
        <v>19323.759999999998</v>
      </c>
      <c r="H47" s="7">
        <v>45618</v>
      </c>
      <c r="I47" s="5" t="s">
        <v>27</v>
      </c>
      <c r="J47" s="5" t="s">
        <v>17</v>
      </c>
    </row>
    <row r="48" spans="1:10" ht="15" customHeight="1" x14ac:dyDescent="0.25">
      <c r="A48" s="2" t="s">
        <v>112</v>
      </c>
      <c r="B48" s="2" t="s">
        <v>50</v>
      </c>
      <c r="C48" s="2" t="s">
        <v>51</v>
      </c>
      <c r="D48" s="2" t="s">
        <v>13</v>
      </c>
      <c r="E48" s="2" t="s">
        <v>42</v>
      </c>
      <c r="F48" s="2" t="s">
        <v>43</v>
      </c>
      <c r="G48" s="3">
        <v>2974.47</v>
      </c>
      <c r="H48" s="4">
        <v>45645</v>
      </c>
      <c r="I48" s="2" t="s">
        <v>32</v>
      </c>
      <c r="J48" s="2" t="s">
        <v>17</v>
      </c>
    </row>
    <row r="49" spans="1:10" ht="15" customHeight="1" x14ac:dyDescent="0.25">
      <c r="A49" s="5" t="s">
        <v>113</v>
      </c>
      <c r="B49" s="5" t="s">
        <v>45</v>
      </c>
      <c r="C49" s="5" t="s">
        <v>46</v>
      </c>
      <c r="D49" s="5" t="s">
        <v>19</v>
      </c>
      <c r="E49" s="5" t="s">
        <v>79</v>
      </c>
      <c r="F49" s="5" t="s">
        <v>31</v>
      </c>
      <c r="G49" s="6">
        <v>3872.73</v>
      </c>
      <c r="H49" s="7">
        <v>45357</v>
      </c>
      <c r="I49" s="5" t="s">
        <v>16</v>
      </c>
      <c r="J49" s="5" t="s">
        <v>33</v>
      </c>
    </row>
    <row r="50" spans="1:10" ht="15" customHeight="1" x14ac:dyDescent="0.25">
      <c r="A50" s="2" t="s">
        <v>114</v>
      </c>
      <c r="B50" s="2" t="s">
        <v>35</v>
      </c>
      <c r="C50" s="2" t="s">
        <v>36</v>
      </c>
      <c r="D50" s="2" t="s">
        <v>19</v>
      </c>
      <c r="E50" s="2" t="s">
        <v>47</v>
      </c>
      <c r="F50" s="2" t="s">
        <v>48</v>
      </c>
      <c r="G50" s="3">
        <v>17115.25</v>
      </c>
      <c r="H50" s="4">
        <v>45633</v>
      </c>
      <c r="I50" s="2" t="s">
        <v>27</v>
      </c>
      <c r="J50" s="2" t="s">
        <v>17</v>
      </c>
    </row>
    <row r="51" spans="1:10" ht="15" customHeight="1" x14ac:dyDescent="0.25">
      <c r="A51" s="5" t="s">
        <v>115</v>
      </c>
      <c r="B51" s="5" t="s">
        <v>65</v>
      </c>
      <c r="C51" s="5" t="s">
        <v>66</v>
      </c>
      <c r="D51" s="5" t="s">
        <v>13</v>
      </c>
      <c r="E51" s="5" t="s">
        <v>77</v>
      </c>
      <c r="F51" s="5" t="s">
        <v>37</v>
      </c>
      <c r="G51" s="6">
        <v>23158.94</v>
      </c>
      <c r="H51" s="7">
        <v>45413</v>
      </c>
      <c r="I51" s="5" t="s">
        <v>16</v>
      </c>
      <c r="J51" s="5" t="s">
        <v>33</v>
      </c>
    </row>
    <row r="52" spans="1:10" ht="15" customHeight="1" x14ac:dyDescent="0.25">
      <c r="A52" s="2" t="s">
        <v>116</v>
      </c>
      <c r="B52" s="2" t="s">
        <v>39</v>
      </c>
      <c r="C52" s="2" t="s">
        <v>40</v>
      </c>
      <c r="D52" s="2" t="s">
        <v>13</v>
      </c>
      <c r="E52" s="2" t="s">
        <v>71</v>
      </c>
      <c r="F52" s="2" t="s">
        <v>15</v>
      </c>
      <c r="G52" s="3">
        <v>19603.189999999999</v>
      </c>
      <c r="H52" s="4">
        <v>45502</v>
      </c>
      <c r="I52" s="2" t="s">
        <v>16</v>
      </c>
      <c r="J52" s="2" t="s">
        <v>56</v>
      </c>
    </row>
    <row r="53" spans="1:10" ht="15" customHeight="1" x14ac:dyDescent="0.25">
      <c r="A53" s="5" t="s">
        <v>117</v>
      </c>
      <c r="B53" s="5" t="s">
        <v>50</v>
      </c>
      <c r="C53" s="5" t="s">
        <v>51</v>
      </c>
      <c r="D53" s="5" t="s">
        <v>13</v>
      </c>
      <c r="E53" s="5" t="s">
        <v>69</v>
      </c>
      <c r="F53" s="5" t="s">
        <v>31</v>
      </c>
      <c r="G53" s="6">
        <v>21493.11</v>
      </c>
      <c r="H53" s="7">
        <v>45405</v>
      </c>
      <c r="I53" s="5" t="s">
        <v>32</v>
      </c>
      <c r="J53" s="5" t="s">
        <v>33</v>
      </c>
    </row>
    <row r="54" spans="1:10" ht="15" customHeight="1" x14ac:dyDescent="0.25">
      <c r="A54" s="2" t="s">
        <v>118</v>
      </c>
      <c r="B54" s="2" t="s">
        <v>35</v>
      </c>
      <c r="C54" s="2" t="s">
        <v>36</v>
      </c>
      <c r="D54" s="2" t="s">
        <v>41</v>
      </c>
      <c r="E54" s="2" t="s">
        <v>98</v>
      </c>
      <c r="F54" s="2" t="s">
        <v>31</v>
      </c>
      <c r="G54" s="3">
        <v>786.88</v>
      </c>
      <c r="H54" s="4">
        <v>45390</v>
      </c>
      <c r="I54" s="2" t="s">
        <v>16</v>
      </c>
      <c r="J54" s="2" t="s">
        <v>33</v>
      </c>
    </row>
    <row r="55" spans="1:10" ht="15" customHeight="1" x14ac:dyDescent="0.25">
      <c r="A55" s="5" t="s">
        <v>119</v>
      </c>
      <c r="B55" s="5" t="s">
        <v>39</v>
      </c>
      <c r="C55" s="5" t="s">
        <v>40</v>
      </c>
      <c r="D55" s="5" t="s">
        <v>25</v>
      </c>
      <c r="E55" s="5" t="s">
        <v>98</v>
      </c>
      <c r="F55" s="5" t="s">
        <v>43</v>
      </c>
      <c r="G55" s="6">
        <v>16108.75</v>
      </c>
      <c r="H55" s="7">
        <v>45496</v>
      </c>
      <c r="I55" s="5" t="s">
        <v>16</v>
      </c>
      <c r="J55" s="5" t="s">
        <v>33</v>
      </c>
    </row>
    <row r="56" spans="1:10" ht="15" customHeight="1" x14ac:dyDescent="0.25">
      <c r="A56" s="2" t="s">
        <v>120</v>
      </c>
      <c r="B56" s="2" t="s">
        <v>65</v>
      </c>
      <c r="C56" s="2" t="s">
        <v>66</v>
      </c>
      <c r="D56" s="2" t="s">
        <v>19</v>
      </c>
      <c r="E56" s="2" t="s">
        <v>67</v>
      </c>
      <c r="F56" s="2" t="s">
        <v>48</v>
      </c>
      <c r="G56" s="3">
        <v>14598.63</v>
      </c>
      <c r="H56" s="4">
        <v>45427</v>
      </c>
      <c r="I56" s="2" t="s">
        <v>27</v>
      </c>
      <c r="J56" s="2" t="s">
        <v>33</v>
      </c>
    </row>
    <row r="57" spans="1:10" ht="15" customHeight="1" x14ac:dyDescent="0.25">
      <c r="A57" s="5" t="s">
        <v>121</v>
      </c>
      <c r="B57" s="5" t="s">
        <v>39</v>
      </c>
      <c r="C57" s="5" t="s">
        <v>40</v>
      </c>
      <c r="D57" s="5" t="s">
        <v>19</v>
      </c>
      <c r="E57" s="5" t="s">
        <v>101</v>
      </c>
      <c r="F57" s="5" t="s">
        <v>48</v>
      </c>
      <c r="G57" s="6">
        <v>11022.57</v>
      </c>
      <c r="H57" s="7">
        <v>45553</v>
      </c>
      <c r="I57" s="5" t="s">
        <v>21</v>
      </c>
      <c r="J57" s="5" t="s">
        <v>33</v>
      </c>
    </row>
    <row r="58" spans="1:10" ht="15" customHeight="1" x14ac:dyDescent="0.25">
      <c r="A58" s="2" t="s">
        <v>122</v>
      </c>
      <c r="B58" s="2" t="s">
        <v>50</v>
      </c>
      <c r="C58" s="2" t="s">
        <v>51</v>
      </c>
      <c r="D58" s="2" t="s">
        <v>25</v>
      </c>
      <c r="E58" s="2" t="s">
        <v>42</v>
      </c>
      <c r="F58" s="2" t="s">
        <v>15</v>
      </c>
      <c r="G58" s="3">
        <v>17777.88</v>
      </c>
      <c r="H58" s="4">
        <v>45292</v>
      </c>
      <c r="I58" s="2" t="s">
        <v>32</v>
      </c>
      <c r="J58" s="2" t="s">
        <v>56</v>
      </c>
    </row>
    <row r="59" spans="1:10" ht="15" customHeight="1" x14ac:dyDescent="0.25">
      <c r="A59" s="5" t="s">
        <v>123</v>
      </c>
      <c r="B59" s="5" t="s">
        <v>11</v>
      </c>
      <c r="C59" s="5" t="s">
        <v>12</v>
      </c>
      <c r="D59" s="5" t="s">
        <v>25</v>
      </c>
      <c r="E59" s="5" t="s">
        <v>98</v>
      </c>
      <c r="F59" s="5" t="s">
        <v>43</v>
      </c>
      <c r="G59" s="6">
        <v>23732.09</v>
      </c>
      <c r="H59" s="7">
        <v>45461</v>
      </c>
      <c r="I59" s="5" t="s">
        <v>32</v>
      </c>
      <c r="J59" s="5" t="s">
        <v>17</v>
      </c>
    </row>
    <row r="60" spans="1:10" ht="15" customHeight="1" x14ac:dyDescent="0.25">
      <c r="A60" s="2" t="s">
        <v>124</v>
      </c>
      <c r="B60" s="2" t="s">
        <v>29</v>
      </c>
      <c r="C60" s="2" t="s">
        <v>30</v>
      </c>
      <c r="D60" s="2" t="s">
        <v>41</v>
      </c>
      <c r="E60" s="2" t="s">
        <v>79</v>
      </c>
      <c r="F60" s="2" t="s">
        <v>48</v>
      </c>
      <c r="G60" s="3">
        <v>0</v>
      </c>
      <c r="H60" s="4">
        <v>45459</v>
      </c>
      <c r="I60" s="2" t="s">
        <v>21</v>
      </c>
      <c r="J60" s="2" t="s">
        <v>33</v>
      </c>
    </row>
    <row r="61" spans="1:10" ht="15" customHeight="1" x14ac:dyDescent="0.25">
      <c r="A61" s="5" t="s">
        <v>125</v>
      </c>
      <c r="B61" s="5" t="s">
        <v>73</v>
      </c>
      <c r="C61" s="5" t="s">
        <v>74</v>
      </c>
      <c r="D61" s="5" t="s">
        <v>13</v>
      </c>
      <c r="E61" s="5" t="s">
        <v>107</v>
      </c>
      <c r="F61" s="5" t="s">
        <v>48</v>
      </c>
      <c r="G61" s="6">
        <v>16690.25</v>
      </c>
      <c r="H61" s="7">
        <v>45486</v>
      </c>
      <c r="I61" s="5" t="s">
        <v>32</v>
      </c>
      <c r="J61" s="5" t="s">
        <v>56</v>
      </c>
    </row>
    <row r="62" spans="1:10" ht="15" customHeight="1" x14ac:dyDescent="0.25">
      <c r="A62" s="2" t="s">
        <v>126</v>
      </c>
      <c r="B62" s="2" t="s">
        <v>45</v>
      </c>
      <c r="C62" s="2" t="s">
        <v>46</v>
      </c>
      <c r="D62" s="2" t="s">
        <v>59</v>
      </c>
      <c r="E62" s="2" t="s">
        <v>127</v>
      </c>
      <c r="F62" s="2" t="s">
        <v>37</v>
      </c>
      <c r="G62" s="3">
        <v>20876.38</v>
      </c>
      <c r="H62" s="4">
        <v>45447</v>
      </c>
      <c r="I62" s="2" t="s">
        <v>32</v>
      </c>
      <c r="J62" s="2" t="s">
        <v>56</v>
      </c>
    </row>
    <row r="63" spans="1:10" ht="15" customHeight="1" x14ac:dyDescent="0.25">
      <c r="A63" s="5" t="s">
        <v>128</v>
      </c>
      <c r="B63" s="5" t="s">
        <v>53</v>
      </c>
      <c r="C63" s="5" t="s">
        <v>54</v>
      </c>
      <c r="D63" s="5" t="s">
        <v>25</v>
      </c>
      <c r="E63" s="5" t="s">
        <v>87</v>
      </c>
      <c r="F63" s="5" t="s">
        <v>15</v>
      </c>
      <c r="G63" s="6">
        <v>11165.56</v>
      </c>
      <c r="H63" s="7">
        <v>45401</v>
      </c>
      <c r="I63" s="5" t="s">
        <v>16</v>
      </c>
      <c r="J63" s="5" t="s">
        <v>33</v>
      </c>
    </row>
    <row r="64" spans="1:10" ht="15" customHeight="1" x14ac:dyDescent="0.25">
      <c r="A64" s="2" t="s">
        <v>129</v>
      </c>
      <c r="B64" s="2" t="s">
        <v>45</v>
      </c>
      <c r="C64" s="2" t="s">
        <v>46</v>
      </c>
      <c r="D64" s="2" t="s">
        <v>59</v>
      </c>
      <c r="E64" s="2" t="s">
        <v>20</v>
      </c>
      <c r="F64" s="2" t="s">
        <v>15</v>
      </c>
      <c r="G64" s="3">
        <v>16663.580000000002</v>
      </c>
      <c r="H64" s="4">
        <v>45609</v>
      </c>
      <c r="I64" s="2" t="s">
        <v>32</v>
      </c>
      <c r="J64" s="2" t="s">
        <v>33</v>
      </c>
    </row>
    <row r="65" spans="1:10" ht="15" customHeight="1" x14ac:dyDescent="0.25">
      <c r="A65" s="5" t="s">
        <v>130</v>
      </c>
      <c r="B65" s="5" t="s">
        <v>35</v>
      </c>
      <c r="C65" s="5" t="s">
        <v>36</v>
      </c>
      <c r="D65" s="5" t="s">
        <v>13</v>
      </c>
      <c r="E65" s="5" t="s">
        <v>87</v>
      </c>
      <c r="F65" s="5" t="s">
        <v>48</v>
      </c>
      <c r="G65" s="6">
        <v>3854.38</v>
      </c>
      <c r="H65" s="7">
        <v>45315</v>
      </c>
      <c r="I65" s="5" t="s">
        <v>16</v>
      </c>
      <c r="J65" s="5" t="s">
        <v>56</v>
      </c>
    </row>
    <row r="66" spans="1:10" ht="15" customHeight="1" x14ac:dyDescent="0.25">
      <c r="A66" s="2" t="s">
        <v>131</v>
      </c>
      <c r="B66" s="2" t="s">
        <v>73</v>
      </c>
      <c r="C66" s="2" t="s">
        <v>74</v>
      </c>
      <c r="D66" s="2" t="s">
        <v>13</v>
      </c>
      <c r="E66" s="2" t="s">
        <v>101</v>
      </c>
      <c r="F66" s="2" t="s">
        <v>37</v>
      </c>
      <c r="G66" s="3">
        <v>22176.2</v>
      </c>
      <c r="H66" s="4">
        <v>45586</v>
      </c>
      <c r="I66" s="2" t="s">
        <v>27</v>
      </c>
      <c r="J66" s="2" t="s">
        <v>33</v>
      </c>
    </row>
    <row r="67" spans="1:10" ht="15" customHeight="1" x14ac:dyDescent="0.25">
      <c r="A67" s="5" t="s">
        <v>132</v>
      </c>
      <c r="B67" s="5" t="s">
        <v>65</v>
      </c>
      <c r="C67" s="5" t="s">
        <v>66</v>
      </c>
      <c r="D67" s="5" t="s">
        <v>19</v>
      </c>
      <c r="E67" s="5" t="s">
        <v>26</v>
      </c>
      <c r="F67" s="5" t="s">
        <v>15</v>
      </c>
      <c r="G67" s="6">
        <v>16470.240000000002</v>
      </c>
      <c r="H67" s="7">
        <v>45294</v>
      </c>
      <c r="I67" s="5" t="s">
        <v>21</v>
      </c>
      <c r="J67" s="5" t="s">
        <v>17</v>
      </c>
    </row>
    <row r="68" spans="1:10" ht="15" customHeight="1" x14ac:dyDescent="0.25">
      <c r="A68" s="2" t="s">
        <v>133</v>
      </c>
      <c r="B68" s="2" t="s">
        <v>53</v>
      </c>
      <c r="C68" s="2" t="s">
        <v>54</v>
      </c>
      <c r="D68" s="2" t="s">
        <v>19</v>
      </c>
      <c r="E68" s="2" t="s">
        <v>69</v>
      </c>
      <c r="F68" s="2" t="s">
        <v>15</v>
      </c>
      <c r="G68" s="3">
        <v>1445.42</v>
      </c>
      <c r="H68" s="4">
        <v>45419</v>
      </c>
      <c r="I68" s="2" t="s">
        <v>27</v>
      </c>
      <c r="J68" s="2" t="s">
        <v>17</v>
      </c>
    </row>
    <row r="69" spans="1:10" ht="15" customHeight="1" x14ac:dyDescent="0.25">
      <c r="A69" s="5" t="s">
        <v>134</v>
      </c>
      <c r="B69" s="5" t="s">
        <v>45</v>
      </c>
      <c r="C69" s="5" t="s">
        <v>46</v>
      </c>
      <c r="D69" s="5" t="s">
        <v>25</v>
      </c>
      <c r="E69" s="5" t="s">
        <v>75</v>
      </c>
      <c r="F69" s="5" t="s">
        <v>37</v>
      </c>
      <c r="G69" s="6">
        <v>14967.22</v>
      </c>
      <c r="H69" s="7">
        <v>45518</v>
      </c>
      <c r="I69" s="5" t="s">
        <v>27</v>
      </c>
      <c r="J69" s="5" t="s">
        <v>33</v>
      </c>
    </row>
    <row r="70" spans="1:10" ht="15" customHeight="1" x14ac:dyDescent="0.25">
      <c r="A70" s="2" t="s">
        <v>135</v>
      </c>
      <c r="B70" s="2" t="s">
        <v>53</v>
      </c>
      <c r="C70" s="2" t="s">
        <v>54</v>
      </c>
      <c r="D70" s="2" t="s">
        <v>59</v>
      </c>
      <c r="E70" s="2" t="s">
        <v>75</v>
      </c>
      <c r="F70" s="2" t="s">
        <v>37</v>
      </c>
      <c r="G70" s="3">
        <v>11361.73</v>
      </c>
      <c r="H70" s="4">
        <v>45418</v>
      </c>
      <c r="I70" s="2" t="s">
        <v>21</v>
      </c>
      <c r="J70" s="2" t="s">
        <v>33</v>
      </c>
    </row>
    <row r="71" spans="1:10" ht="15" customHeight="1" x14ac:dyDescent="0.25">
      <c r="A71" s="5" t="s">
        <v>136</v>
      </c>
      <c r="B71" s="5" t="s">
        <v>53</v>
      </c>
      <c r="C71" s="5" t="s">
        <v>54</v>
      </c>
      <c r="D71" s="5" t="s">
        <v>13</v>
      </c>
      <c r="E71" s="5" t="s">
        <v>71</v>
      </c>
      <c r="F71" s="5" t="s">
        <v>31</v>
      </c>
      <c r="G71" s="6">
        <v>2121.59</v>
      </c>
      <c r="H71" s="7">
        <v>45438</v>
      </c>
      <c r="I71" s="5" t="s">
        <v>32</v>
      </c>
      <c r="J71" s="5" t="s">
        <v>17</v>
      </c>
    </row>
    <row r="72" spans="1:10" ht="15" customHeight="1" x14ac:dyDescent="0.25">
      <c r="A72" s="2" t="s">
        <v>137</v>
      </c>
      <c r="B72" s="2" t="s">
        <v>11</v>
      </c>
      <c r="C72" s="2" t="s">
        <v>12</v>
      </c>
      <c r="D72" s="2" t="s">
        <v>41</v>
      </c>
      <c r="E72" s="2" t="s">
        <v>61</v>
      </c>
      <c r="F72" s="2" t="s">
        <v>15</v>
      </c>
      <c r="G72" s="3">
        <v>3631.68</v>
      </c>
      <c r="H72" s="4">
        <v>45410</v>
      </c>
      <c r="I72" s="2" t="s">
        <v>16</v>
      </c>
      <c r="J72" s="2" t="s">
        <v>56</v>
      </c>
    </row>
    <row r="73" spans="1:10" ht="15" customHeight="1" x14ac:dyDescent="0.25">
      <c r="A73" s="5" t="s">
        <v>138</v>
      </c>
      <c r="B73" s="5" t="s">
        <v>73</v>
      </c>
      <c r="C73" s="5" t="s">
        <v>74</v>
      </c>
      <c r="D73" s="5" t="s">
        <v>41</v>
      </c>
      <c r="E73" s="5" t="s">
        <v>90</v>
      </c>
      <c r="F73" s="5" t="s">
        <v>15</v>
      </c>
      <c r="G73" s="6">
        <v>8405.86</v>
      </c>
      <c r="H73" s="7">
        <v>45530</v>
      </c>
      <c r="I73" s="5" t="s">
        <v>27</v>
      </c>
      <c r="J73" s="5" t="s">
        <v>56</v>
      </c>
    </row>
    <row r="74" spans="1:10" ht="15" customHeight="1" x14ac:dyDescent="0.25">
      <c r="A74" s="2" t="s">
        <v>139</v>
      </c>
      <c r="B74" s="2" t="s">
        <v>23</v>
      </c>
      <c r="C74" s="2" t="s">
        <v>24</v>
      </c>
      <c r="D74" s="2" t="s">
        <v>25</v>
      </c>
      <c r="E74" s="2" t="s">
        <v>101</v>
      </c>
      <c r="F74" s="2" t="s">
        <v>37</v>
      </c>
      <c r="G74" s="3">
        <v>23662.34</v>
      </c>
      <c r="H74" s="4">
        <v>45302</v>
      </c>
      <c r="I74" s="2" t="s">
        <v>16</v>
      </c>
      <c r="J74" s="2" t="s">
        <v>33</v>
      </c>
    </row>
    <row r="75" spans="1:10" ht="15" customHeight="1" x14ac:dyDescent="0.25">
      <c r="A75" s="5" t="s">
        <v>140</v>
      </c>
      <c r="B75" s="5" t="s">
        <v>29</v>
      </c>
      <c r="C75" s="5" t="s">
        <v>30</v>
      </c>
      <c r="D75" s="5" t="s">
        <v>25</v>
      </c>
      <c r="E75" s="5" t="s">
        <v>42</v>
      </c>
      <c r="F75" s="5" t="s">
        <v>48</v>
      </c>
      <c r="G75" s="6">
        <v>18886.18</v>
      </c>
      <c r="H75" s="7">
        <v>45506</v>
      </c>
      <c r="I75" s="5" t="s">
        <v>21</v>
      </c>
      <c r="J75" s="5" t="s">
        <v>56</v>
      </c>
    </row>
    <row r="76" spans="1:10" ht="15" customHeight="1" x14ac:dyDescent="0.25">
      <c r="A76" s="2" t="s">
        <v>141</v>
      </c>
      <c r="B76" s="2" t="s">
        <v>35</v>
      </c>
      <c r="C76" s="2" t="s">
        <v>36</v>
      </c>
      <c r="D76" s="2" t="s">
        <v>19</v>
      </c>
      <c r="E76" s="2" t="s">
        <v>101</v>
      </c>
      <c r="F76" s="2" t="s">
        <v>31</v>
      </c>
      <c r="G76" s="3">
        <v>6968.8</v>
      </c>
      <c r="H76" s="4">
        <v>45540</v>
      </c>
      <c r="I76" s="2" t="s">
        <v>27</v>
      </c>
      <c r="J76" s="2" t="s">
        <v>33</v>
      </c>
    </row>
    <row r="77" spans="1:10" ht="15" customHeight="1" x14ac:dyDescent="0.25">
      <c r="A77" s="5" t="s">
        <v>142</v>
      </c>
      <c r="B77" s="5" t="s">
        <v>53</v>
      </c>
      <c r="C77" s="5" t="s">
        <v>54</v>
      </c>
      <c r="D77" s="5" t="s">
        <v>25</v>
      </c>
      <c r="E77" s="5" t="s">
        <v>95</v>
      </c>
      <c r="F77" s="5" t="s">
        <v>37</v>
      </c>
      <c r="G77" s="6">
        <v>23004.63</v>
      </c>
      <c r="H77" s="7">
        <v>45610</v>
      </c>
      <c r="I77" s="5" t="s">
        <v>16</v>
      </c>
      <c r="J77" s="5" t="s">
        <v>33</v>
      </c>
    </row>
    <row r="78" spans="1:10" ht="15" customHeight="1" x14ac:dyDescent="0.25">
      <c r="A78" s="2" t="s">
        <v>143</v>
      </c>
      <c r="B78" s="2" t="s">
        <v>73</v>
      </c>
      <c r="C78" s="2" t="s">
        <v>74</v>
      </c>
      <c r="D78" s="2" t="s">
        <v>13</v>
      </c>
      <c r="E78" s="2" t="s">
        <v>90</v>
      </c>
      <c r="F78" s="2" t="s">
        <v>31</v>
      </c>
      <c r="G78" s="3">
        <v>3565.35</v>
      </c>
      <c r="H78" s="4">
        <v>45528</v>
      </c>
      <c r="I78" s="2" t="s">
        <v>27</v>
      </c>
      <c r="J78" s="2" t="s">
        <v>33</v>
      </c>
    </row>
    <row r="79" spans="1:10" ht="15" customHeight="1" x14ac:dyDescent="0.25">
      <c r="A79" s="5" t="s">
        <v>144</v>
      </c>
      <c r="B79" s="5" t="s">
        <v>35</v>
      </c>
      <c r="C79" s="5" t="s">
        <v>36</v>
      </c>
      <c r="D79" s="5" t="s">
        <v>41</v>
      </c>
      <c r="E79" s="5" t="s">
        <v>71</v>
      </c>
      <c r="F79" s="5" t="s">
        <v>37</v>
      </c>
      <c r="G79" s="6">
        <v>11476.54</v>
      </c>
      <c r="H79" s="7">
        <v>45464</v>
      </c>
      <c r="I79" s="5" t="s">
        <v>32</v>
      </c>
      <c r="J79" s="5" t="s">
        <v>33</v>
      </c>
    </row>
    <row r="80" spans="1:10" ht="15" customHeight="1" x14ac:dyDescent="0.25">
      <c r="A80" s="2" t="s">
        <v>145</v>
      </c>
      <c r="B80" s="2" t="s">
        <v>53</v>
      </c>
      <c r="C80" s="2" t="s">
        <v>54</v>
      </c>
      <c r="D80" s="2" t="s">
        <v>19</v>
      </c>
      <c r="E80" s="2" t="s">
        <v>47</v>
      </c>
      <c r="F80" s="2" t="s">
        <v>15</v>
      </c>
      <c r="G80" s="3">
        <v>0</v>
      </c>
      <c r="H80" s="4">
        <v>45568</v>
      </c>
      <c r="I80" s="2" t="s">
        <v>16</v>
      </c>
      <c r="J80" s="2" t="s">
        <v>33</v>
      </c>
    </row>
    <row r="81" spans="1:10" ht="15" customHeight="1" x14ac:dyDescent="0.25">
      <c r="A81" s="5" t="s">
        <v>146</v>
      </c>
      <c r="B81" s="5" t="s">
        <v>50</v>
      </c>
      <c r="C81" s="5" t="s">
        <v>51</v>
      </c>
      <c r="D81" s="5" t="s">
        <v>19</v>
      </c>
      <c r="E81" s="5" t="s">
        <v>107</v>
      </c>
      <c r="F81" s="5" t="s">
        <v>15</v>
      </c>
      <c r="G81" s="6">
        <v>23750.37</v>
      </c>
      <c r="H81" s="7">
        <v>45394</v>
      </c>
      <c r="I81" s="5" t="s">
        <v>21</v>
      </c>
      <c r="J81" s="5" t="s">
        <v>33</v>
      </c>
    </row>
    <row r="82" spans="1:10" ht="15" customHeight="1" x14ac:dyDescent="0.25">
      <c r="A82" s="2" t="s">
        <v>147</v>
      </c>
      <c r="B82" s="2" t="s">
        <v>53</v>
      </c>
      <c r="C82" s="2" t="s">
        <v>54</v>
      </c>
      <c r="D82" s="2" t="s">
        <v>13</v>
      </c>
      <c r="E82" s="2" t="s">
        <v>69</v>
      </c>
      <c r="F82" s="2" t="s">
        <v>31</v>
      </c>
      <c r="G82" s="3">
        <v>16802.580000000002</v>
      </c>
      <c r="H82" s="4">
        <v>45580</v>
      </c>
      <c r="I82" s="2" t="s">
        <v>32</v>
      </c>
      <c r="J82" s="2" t="s">
        <v>33</v>
      </c>
    </row>
    <row r="83" spans="1:10" ht="15" customHeight="1" x14ac:dyDescent="0.25">
      <c r="A83" s="5" t="s">
        <v>148</v>
      </c>
      <c r="B83" s="5" t="s">
        <v>23</v>
      </c>
      <c r="C83" s="5" t="s">
        <v>24</v>
      </c>
      <c r="D83" s="5" t="s">
        <v>13</v>
      </c>
      <c r="E83" s="5" t="s">
        <v>79</v>
      </c>
      <c r="F83" s="5" t="s">
        <v>43</v>
      </c>
      <c r="G83" s="6">
        <v>15259.74</v>
      </c>
      <c r="H83" s="7">
        <v>45350</v>
      </c>
      <c r="I83" s="5" t="s">
        <v>16</v>
      </c>
      <c r="J83" s="5" t="s">
        <v>33</v>
      </c>
    </row>
    <row r="84" spans="1:10" ht="15" customHeight="1" x14ac:dyDescent="0.25">
      <c r="A84" s="2" t="s">
        <v>149</v>
      </c>
      <c r="B84" s="2" t="s">
        <v>23</v>
      </c>
      <c r="C84" s="2" t="s">
        <v>24</v>
      </c>
      <c r="D84" s="2" t="s">
        <v>41</v>
      </c>
      <c r="E84" s="2" t="s">
        <v>127</v>
      </c>
      <c r="F84" s="2" t="s">
        <v>43</v>
      </c>
      <c r="G84" s="3">
        <v>16998.21</v>
      </c>
      <c r="H84" s="4">
        <v>45484</v>
      </c>
      <c r="I84" s="2" t="s">
        <v>21</v>
      </c>
      <c r="J84" s="2" t="s">
        <v>33</v>
      </c>
    </row>
    <row r="85" spans="1:10" ht="15" customHeight="1" x14ac:dyDescent="0.25">
      <c r="A85" s="5" t="s">
        <v>150</v>
      </c>
      <c r="B85" s="5" t="s">
        <v>29</v>
      </c>
      <c r="C85" s="5" t="s">
        <v>30</v>
      </c>
      <c r="D85" s="5" t="s">
        <v>19</v>
      </c>
      <c r="E85" s="5" t="s">
        <v>63</v>
      </c>
      <c r="F85" s="5" t="s">
        <v>43</v>
      </c>
      <c r="G85" s="6">
        <v>21287.27</v>
      </c>
      <c r="H85" s="7">
        <v>45599</v>
      </c>
      <c r="I85" s="5" t="s">
        <v>32</v>
      </c>
      <c r="J85" s="5" t="s">
        <v>17</v>
      </c>
    </row>
    <row r="86" spans="1:10" ht="15" customHeight="1" x14ac:dyDescent="0.25">
      <c r="A86" s="2" t="s">
        <v>151</v>
      </c>
      <c r="B86" s="2" t="s">
        <v>73</v>
      </c>
      <c r="C86" s="2" t="s">
        <v>74</v>
      </c>
      <c r="D86" s="2" t="s">
        <v>25</v>
      </c>
      <c r="E86" s="2" t="s">
        <v>98</v>
      </c>
      <c r="F86" s="2" t="s">
        <v>43</v>
      </c>
      <c r="G86" s="3">
        <v>16605.73</v>
      </c>
      <c r="H86" s="4">
        <v>45327</v>
      </c>
      <c r="I86" s="2" t="s">
        <v>27</v>
      </c>
      <c r="J86" s="2" t="s">
        <v>56</v>
      </c>
    </row>
    <row r="87" spans="1:10" ht="15" customHeight="1" x14ac:dyDescent="0.25">
      <c r="A87" s="5" t="s">
        <v>152</v>
      </c>
      <c r="B87" s="5" t="s">
        <v>11</v>
      </c>
      <c r="C87" s="5" t="s">
        <v>12</v>
      </c>
      <c r="D87" s="5" t="s">
        <v>41</v>
      </c>
      <c r="E87" s="5" t="s">
        <v>61</v>
      </c>
      <c r="F87" s="5" t="s">
        <v>37</v>
      </c>
      <c r="G87" s="6">
        <v>10951.38</v>
      </c>
      <c r="H87" s="7">
        <v>45477</v>
      </c>
      <c r="I87" s="5" t="s">
        <v>21</v>
      </c>
      <c r="J87" s="5" t="s">
        <v>17</v>
      </c>
    </row>
    <row r="88" spans="1:10" ht="15" customHeight="1" x14ac:dyDescent="0.25">
      <c r="A88" s="2" t="s">
        <v>153</v>
      </c>
      <c r="B88" s="2" t="s">
        <v>29</v>
      </c>
      <c r="C88" s="2" t="s">
        <v>30</v>
      </c>
      <c r="D88" s="2" t="s">
        <v>41</v>
      </c>
      <c r="E88" s="2" t="s">
        <v>69</v>
      </c>
      <c r="F88" s="2" t="s">
        <v>37</v>
      </c>
      <c r="G88" s="3">
        <v>15474.63</v>
      </c>
      <c r="H88" s="4">
        <v>45567</v>
      </c>
      <c r="I88" s="2" t="s">
        <v>32</v>
      </c>
      <c r="J88" s="2" t="s">
        <v>33</v>
      </c>
    </row>
    <row r="89" spans="1:10" ht="15" customHeight="1" x14ac:dyDescent="0.25">
      <c r="A89" s="5" t="s">
        <v>154</v>
      </c>
      <c r="B89" s="5" t="s">
        <v>35</v>
      </c>
      <c r="C89" s="5" t="s">
        <v>36</v>
      </c>
      <c r="D89" s="5" t="s">
        <v>59</v>
      </c>
      <c r="E89" s="5" t="s">
        <v>69</v>
      </c>
      <c r="F89" s="5" t="s">
        <v>15</v>
      </c>
      <c r="G89" s="6">
        <v>20802.13</v>
      </c>
      <c r="H89" s="7">
        <v>45336</v>
      </c>
      <c r="I89" s="5" t="s">
        <v>27</v>
      </c>
      <c r="J89" s="5" t="s">
        <v>17</v>
      </c>
    </row>
    <row r="90" spans="1:10" ht="15" customHeight="1" x14ac:dyDescent="0.25">
      <c r="A90" s="2" t="s">
        <v>155</v>
      </c>
      <c r="B90" s="2" t="s">
        <v>23</v>
      </c>
      <c r="C90" s="2" t="s">
        <v>24</v>
      </c>
      <c r="D90" s="2" t="s">
        <v>19</v>
      </c>
      <c r="E90" s="2" t="s">
        <v>87</v>
      </c>
      <c r="F90" s="2" t="s">
        <v>31</v>
      </c>
      <c r="G90" s="3">
        <v>16771.07</v>
      </c>
      <c r="H90" s="4">
        <v>45464</v>
      </c>
      <c r="I90" s="2" t="s">
        <v>21</v>
      </c>
      <c r="J90" s="2" t="s">
        <v>56</v>
      </c>
    </row>
    <row r="91" spans="1:10" ht="15" customHeight="1" x14ac:dyDescent="0.25">
      <c r="A91" s="5" t="s">
        <v>156</v>
      </c>
      <c r="B91" s="5" t="s">
        <v>35</v>
      </c>
      <c r="C91" s="5" t="s">
        <v>36</v>
      </c>
      <c r="D91" s="5" t="s">
        <v>59</v>
      </c>
      <c r="E91" s="5" t="s">
        <v>71</v>
      </c>
      <c r="F91" s="5" t="s">
        <v>48</v>
      </c>
      <c r="G91" s="6">
        <v>8999.66</v>
      </c>
      <c r="H91" s="7">
        <v>45424</v>
      </c>
      <c r="I91" s="5" t="s">
        <v>32</v>
      </c>
      <c r="J91" s="5" t="s">
        <v>17</v>
      </c>
    </row>
    <row r="92" spans="1:10" ht="15" customHeight="1" x14ac:dyDescent="0.25">
      <c r="A92" s="2" t="s">
        <v>157</v>
      </c>
      <c r="B92" s="2" t="s">
        <v>50</v>
      </c>
      <c r="C92" s="2" t="s">
        <v>51</v>
      </c>
      <c r="D92" s="2" t="s">
        <v>19</v>
      </c>
      <c r="E92" s="2" t="s">
        <v>14</v>
      </c>
      <c r="F92" s="2" t="s">
        <v>37</v>
      </c>
      <c r="G92" s="3">
        <v>13012.36</v>
      </c>
      <c r="H92" s="4">
        <v>45389</v>
      </c>
      <c r="I92" s="2" t="s">
        <v>27</v>
      </c>
      <c r="J92" s="2" t="s">
        <v>17</v>
      </c>
    </row>
    <row r="93" spans="1:10" ht="15" customHeight="1" x14ac:dyDescent="0.25">
      <c r="A93" s="5" t="s">
        <v>158</v>
      </c>
      <c r="B93" s="5" t="s">
        <v>35</v>
      </c>
      <c r="C93" s="5" t="s">
        <v>36</v>
      </c>
      <c r="D93" s="5" t="s">
        <v>41</v>
      </c>
      <c r="E93" s="5" t="s">
        <v>69</v>
      </c>
      <c r="F93" s="5" t="s">
        <v>43</v>
      </c>
      <c r="G93" s="6">
        <v>17327.11</v>
      </c>
      <c r="H93" s="7">
        <v>45622</v>
      </c>
      <c r="I93" s="5" t="s">
        <v>16</v>
      </c>
      <c r="J93" s="5" t="s">
        <v>33</v>
      </c>
    </row>
    <row r="94" spans="1:10" ht="15" customHeight="1" x14ac:dyDescent="0.25">
      <c r="A94" s="2" t="s">
        <v>159</v>
      </c>
      <c r="B94" s="2" t="s">
        <v>35</v>
      </c>
      <c r="C94" s="2" t="s">
        <v>36</v>
      </c>
      <c r="D94" s="2" t="s">
        <v>59</v>
      </c>
      <c r="E94" s="2" t="s">
        <v>63</v>
      </c>
      <c r="F94" s="2" t="s">
        <v>31</v>
      </c>
      <c r="G94" s="3">
        <v>10229.15</v>
      </c>
      <c r="H94" s="4">
        <v>45416</v>
      </c>
      <c r="I94" s="2" t="s">
        <v>27</v>
      </c>
      <c r="J94" s="2" t="s">
        <v>17</v>
      </c>
    </row>
    <row r="95" spans="1:10" ht="15" customHeight="1" x14ac:dyDescent="0.25">
      <c r="A95" s="5" t="s">
        <v>160</v>
      </c>
      <c r="B95" s="5" t="s">
        <v>45</v>
      </c>
      <c r="C95" s="5" t="s">
        <v>46</v>
      </c>
      <c r="D95" s="5" t="s">
        <v>59</v>
      </c>
      <c r="E95" s="5" t="s">
        <v>47</v>
      </c>
      <c r="F95" s="5" t="s">
        <v>37</v>
      </c>
      <c r="G95" s="6">
        <v>8725.18</v>
      </c>
      <c r="H95" s="7">
        <v>45573</v>
      </c>
      <c r="I95" s="5" t="s">
        <v>32</v>
      </c>
      <c r="J95" s="5" t="s">
        <v>33</v>
      </c>
    </row>
    <row r="96" spans="1:10" ht="15" customHeight="1" x14ac:dyDescent="0.25">
      <c r="A96" s="2" t="s">
        <v>161</v>
      </c>
      <c r="B96" s="2" t="s">
        <v>29</v>
      </c>
      <c r="C96" s="2" t="s">
        <v>30</v>
      </c>
      <c r="D96" s="2" t="s">
        <v>59</v>
      </c>
      <c r="E96" s="2" t="s">
        <v>67</v>
      </c>
      <c r="F96" s="2" t="s">
        <v>48</v>
      </c>
      <c r="G96" s="3">
        <v>5917.34</v>
      </c>
      <c r="H96" s="4">
        <v>45390</v>
      </c>
      <c r="I96" s="2" t="s">
        <v>21</v>
      </c>
      <c r="J96" s="2" t="s">
        <v>33</v>
      </c>
    </row>
    <row r="97" spans="1:10" ht="15" customHeight="1" x14ac:dyDescent="0.25">
      <c r="A97" s="5" t="s">
        <v>162</v>
      </c>
      <c r="B97" s="5" t="s">
        <v>35</v>
      </c>
      <c r="C97" s="5" t="s">
        <v>36</v>
      </c>
      <c r="D97" s="5" t="s">
        <v>25</v>
      </c>
      <c r="E97" s="5" t="s">
        <v>75</v>
      </c>
      <c r="F97" s="5" t="s">
        <v>48</v>
      </c>
      <c r="G97" s="6">
        <v>18517.400000000001</v>
      </c>
      <c r="H97" s="7">
        <v>45433</v>
      </c>
      <c r="I97" s="5" t="s">
        <v>32</v>
      </c>
      <c r="J97" s="5" t="s">
        <v>33</v>
      </c>
    </row>
    <row r="98" spans="1:10" ht="15" customHeight="1" x14ac:dyDescent="0.25">
      <c r="A98" s="2" t="s">
        <v>163</v>
      </c>
      <c r="B98" s="2" t="s">
        <v>35</v>
      </c>
      <c r="C98" s="2" t="s">
        <v>36</v>
      </c>
      <c r="D98" s="2" t="s">
        <v>13</v>
      </c>
      <c r="E98" s="2" t="s">
        <v>79</v>
      </c>
      <c r="F98" s="2" t="s">
        <v>43</v>
      </c>
      <c r="G98" s="3">
        <v>7546.91</v>
      </c>
      <c r="H98" s="4">
        <v>45476</v>
      </c>
      <c r="I98" s="2" t="s">
        <v>21</v>
      </c>
      <c r="J98" s="2" t="s">
        <v>33</v>
      </c>
    </row>
    <row r="99" spans="1:10" ht="15" customHeight="1" x14ac:dyDescent="0.25">
      <c r="A99" s="5" t="s">
        <v>164</v>
      </c>
      <c r="B99" s="5" t="s">
        <v>50</v>
      </c>
      <c r="C99" s="5" t="s">
        <v>51</v>
      </c>
      <c r="D99" s="5" t="s">
        <v>59</v>
      </c>
      <c r="E99" s="5" t="s">
        <v>61</v>
      </c>
      <c r="F99" s="5" t="s">
        <v>37</v>
      </c>
      <c r="G99" s="6">
        <v>24362.51</v>
      </c>
      <c r="H99" s="7">
        <v>45575</v>
      </c>
      <c r="I99" s="5" t="s">
        <v>16</v>
      </c>
      <c r="J99" s="5" t="s">
        <v>33</v>
      </c>
    </row>
    <row r="100" spans="1:10" ht="15" customHeight="1" x14ac:dyDescent="0.25">
      <c r="A100" s="2" t="s">
        <v>165</v>
      </c>
      <c r="B100" s="2" t="s">
        <v>23</v>
      </c>
      <c r="C100" s="2" t="s">
        <v>24</v>
      </c>
      <c r="D100" s="2" t="s">
        <v>41</v>
      </c>
      <c r="E100" s="2" t="s">
        <v>98</v>
      </c>
      <c r="F100" s="2" t="s">
        <v>15</v>
      </c>
      <c r="G100" s="3">
        <v>0</v>
      </c>
      <c r="H100" s="4">
        <v>45537</v>
      </c>
      <c r="I100" s="2" t="s">
        <v>16</v>
      </c>
      <c r="J100" s="2" t="s">
        <v>33</v>
      </c>
    </row>
    <row r="101" spans="1:10" ht="15" customHeight="1" x14ac:dyDescent="0.25">
      <c r="A101" s="5" t="s">
        <v>166</v>
      </c>
      <c r="B101" s="5" t="s">
        <v>53</v>
      </c>
      <c r="C101" s="5" t="s">
        <v>54</v>
      </c>
      <c r="D101" s="5" t="s">
        <v>41</v>
      </c>
      <c r="E101" s="5" t="s">
        <v>87</v>
      </c>
      <c r="F101" s="5" t="s">
        <v>43</v>
      </c>
      <c r="G101" s="6">
        <v>3029.36</v>
      </c>
      <c r="H101" s="7">
        <v>45325</v>
      </c>
      <c r="I101" s="5" t="s">
        <v>16</v>
      </c>
      <c r="J101" s="5" t="s">
        <v>33</v>
      </c>
    </row>
    <row r="102" spans="1:10" ht="15" customHeight="1" x14ac:dyDescent="0.25">
      <c r="A102" s="2" t="s">
        <v>167</v>
      </c>
      <c r="B102" s="2" t="s">
        <v>65</v>
      </c>
      <c r="C102" s="2" t="s">
        <v>66</v>
      </c>
      <c r="D102" s="2" t="s">
        <v>19</v>
      </c>
      <c r="E102" s="2" t="s">
        <v>14</v>
      </c>
      <c r="F102" s="2" t="s">
        <v>43</v>
      </c>
      <c r="G102" s="3">
        <v>20316.32</v>
      </c>
      <c r="H102" s="4">
        <v>45447</v>
      </c>
      <c r="I102" s="2" t="s">
        <v>27</v>
      </c>
      <c r="J102" s="2" t="s">
        <v>17</v>
      </c>
    </row>
    <row r="103" spans="1:10" ht="15" customHeight="1" x14ac:dyDescent="0.25">
      <c r="A103" s="5" t="s">
        <v>168</v>
      </c>
      <c r="B103" s="5" t="s">
        <v>23</v>
      </c>
      <c r="C103" s="5" t="s">
        <v>24</v>
      </c>
      <c r="D103" s="5" t="s">
        <v>25</v>
      </c>
      <c r="E103" s="5" t="s">
        <v>101</v>
      </c>
      <c r="F103" s="5" t="s">
        <v>37</v>
      </c>
      <c r="G103" s="6">
        <v>19810.37</v>
      </c>
      <c r="H103" s="7">
        <v>45407</v>
      </c>
      <c r="I103" s="5" t="s">
        <v>27</v>
      </c>
      <c r="J103" s="5" t="s">
        <v>33</v>
      </c>
    </row>
    <row r="104" spans="1:10" ht="15" customHeight="1" x14ac:dyDescent="0.25">
      <c r="A104" s="2" t="s">
        <v>169</v>
      </c>
      <c r="B104" s="2" t="s">
        <v>23</v>
      </c>
      <c r="C104" s="2" t="s">
        <v>24</v>
      </c>
      <c r="D104" s="2" t="s">
        <v>25</v>
      </c>
      <c r="E104" s="2" t="s">
        <v>107</v>
      </c>
      <c r="F104" s="2" t="s">
        <v>43</v>
      </c>
      <c r="G104" s="3">
        <v>24752.78</v>
      </c>
      <c r="H104" s="4">
        <v>45448</v>
      </c>
      <c r="I104" s="2" t="s">
        <v>16</v>
      </c>
      <c r="J104" s="2" t="s">
        <v>33</v>
      </c>
    </row>
    <row r="105" spans="1:10" ht="15" customHeight="1" x14ac:dyDescent="0.25">
      <c r="A105" s="5" t="s">
        <v>170</v>
      </c>
      <c r="B105" s="5" t="s">
        <v>35</v>
      </c>
      <c r="C105" s="5" t="s">
        <v>36</v>
      </c>
      <c r="D105" s="5" t="s">
        <v>13</v>
      </c>
      <c r="E105" s="5" t="s">
        <v>14</v>
      </c>
      <c r="F105" s="5" t="s">
        <v>15</v>
      </c>
      <c r="G105" s="6">
        <v>6763.22</v>
      </c>
      <c r="H105" s="7">
        <v>45333</v>
      </c>
      <c r="I105" s="5" t="s">
        <v>16</v>
      </c>
      <c r="J105" s="5" t="s">
        <v>33</v>
      </c>
    </row>
    <row r="106" spans="1:10" ht="15" customHeight="1" x14ac:dyDescent="0.25">
      <c r="A106" s="2" t="s">
        <v>171</v>
      </c>
      <c r="B106" s="2" t="s">
        <v>50</v>
      </c>
      <c r="C106" s="2" t="s">
        <v>51</v>
      </c>
      <c r="D106" s="2" t="s">
        <v>25</v>
      </c>
      <c r="E106" s="2" t="s">
        <v>87</v>
      </c>
      <c r="F106" s="2" t="s">
        <v>31</v>
      </c>
      <c r="G106" s="3">
        <v>10331.24</v>
      </c>
      <c r="H106" s="4">
        <v>45644</v>
      </c>
      <c r="I106" s="2" t="s">
        <v>16</v>
      </c>
      <c r="J106" s="2" t="s">
        <v>33</v>
      </c>
    </row>
    <row r="107" spans="1:10" ht="15" customHeight="1" x14ac:dyDescent="0.25">
      <c r="A107" s="5" t="s">
        <v>172</v>
      </c>
      <c r="B107" s="5" t="s">
        <v>29</v>
      </c>
      <c r="C107" s="5" t="s">
        <v>30</v>
      </c>
      <c r="D107" s="5" t="s">
        <v>41</v>
      </c>
      <c r="E107" s="5" t="s">
        <v>20</v>
      </c>
      <c r="F107" s="5" t="s">
        <v>15</v>
      </c>
      <c r="G107" s="6">
        <v>17732.5</v>
      </c>
      <c r="H107" s="7">
        <v>45651</v>
      </c>
      <c r="I107" s="5" t="s">
        <v>32</v>
      </c>
      <c r="J107" s="5" t="s">
        <v>17</v>
      </c>
    </row>
    <row r="108" spans="1:10" ht="15" customHeight="1" x14ac:dyDescent="0.25">
      <c r="A108" s="2" t="s">
        <v>173</v>
      </c>
      <c r="B108" s="2" t="s">
        <v>35</v>
      </c>
      <c r="C108" s="2" t="s">
        <v>36</v>
      </c>
      <c r="D108" s="2" t="s">
        <v>13</v>
      </c>
      <c r="E108" s="2" t="s">
        <v>61</v>
      </c>
      <c r="F108" s="2" t="s">
        <v>31</v>
      </c>
      <c r="G108" s="3">
        <v>10743.45</v>
      </c>
      <c r="H108" s="4">
        <v>45570</v>
      </c>
      <c r="I108" s="2" t="s">
        <v>21</v>
      </c>
      <c r="J108" s="2" t="s">
        <v>33</v>
      </c>
    </row>
    <row r="109" spans="1:10" ht="15" customHeight="1" x14ac:dyDescent="0.25">
      <c r="A109" s="5" t="s">
        <v>174</v>
      </c>
      <c r="B109" s="5" t="s">
        <v>50</v>
      </c>
      <c r="C109" s="5" t="s">
        <v>51</v>
      </c>
      <c r="D109" s="5" t="s">
        <v>25</v>
      </c>
      <c r="E109" s="5" t="s">
        <v>63</v>
      </c>
      <c r="F109" s="5" t="s">
        <v>31</v>
      </c>
      <c r="G109" s="6">
        <v>4314.8900000000003</v>
      </c>
      <c r="H109" s="7">
        <v>45449</v>
      </c>
      <c r="I109" s="5" t="s">
        <v>27</v>
      </c>
      <c r="J109" s="5" t="s">
        <v>33</v>
      </c>
    </row>
    <row r="110" spans="1:10" ht="15" customHeight="1" x14ac:dyDescent="0.25">
      <c r="A110" s="2" t="s">
        <v>175</v>
      </c>
      <c r="B110" s="2" t="s">
        <v>53</v>
      </c>
      <c r="C110" s="2" t="s">
        <v>54</v>
      </c>
      <c r="D110" s="2" t="s">
        <v>41</v>
      </c>
      <c r="E110" s="2" t="s">
        <v>71</v>
      </c>
      <c r="F110" s="2" t="s">
        <v>48</v>
      </c>
      <c r="G110" s="3">
        <v>17279.21</v>
      </c>
      <c r="H110" s="4">
        <v>45650</v>
      </c>
      <c r="I110" s="2" t="s">
        <v>27</v>
      </c>
      <c r="J110" s="2" t="s">
        <v>56</v>
      </c>
    </row>
    <row r="111" spans="1:10" ht="15" customHeight="1" x14ac:dyDescent="0.25">
      <c r="A111" s="5" t="s">
        <v>176</v>
      </c>
      <c r="B111" s="5" t="s">
        <v>11</v>
      </c>
      <c r="C111" s="5" t="s">
        <v>12</v>
      </c>
      <c r="D111" s="5" t="s">
        <v>59</v>
      </c>
      <c r="E111" s="5" t="s">
        <v>107</v>
      </c>
      <c r="F111" s="5" t="s">
        <v>31</v>
      </c>
      <c r="G111" s="6">
        <v>15031.31</v>
      </c>
      <c r="H111" s="7">
        <v>45513</v>
      </c>
      <c r="I111" s="5" t="s">
        <v>16</v>
      </c>
      <c r="J111" s="5" t="s">
        <v>33</v>
      </c>
    </row>
    <row r="112" spans="1:10" ht="15" customHeight="1" x14ac:dyDescent="0.25">
      <c r="A112" s="2" t="s">
        <v>177</v>
      </c>
      <c r="B112" s="2" t="s">
        <v>35</v>
      </c>
      <c r="C112" s="2" t="s">
        <v>36</v>
      </c>
      <c r="D112" s="2" t="s">
        <v>25</v>
      </c>
      <c r="E112" s="2" t="s">
        <v>95</v>
      </c>
      <c r="F112" s="2" t="s">
        <v>31</v>
      </c>
      <c r="G112" s="3">
        <v>24055.4</v>
      </c>
      <c r="H112" s="4">
        <v>45586</v>
      </c>
      <c r="I112" s="2" t="s">
        <v>16</v>
      </c>
      <c r="J112" s="2" t="s">
        <v>33</v>
      </c>
    </row>
    <row r="113" spans="1:10" ht="15" customHeight="1" x14ac:dyDescent="0.25">
      <c r="A113" s="5" t="s">
        <v>178</v>
      </c>
      <c r="B113" s="5" t="s">
        <v>53</v>
      </c>
      <c r="C113" s="5" t="s">
        <v>54</v>
      </c>
      <c r="D113" s="5" t="s">
        <v>59</v>
      </c>
      <c r="E113" s="5" t="s">
        <v>77</v>
      </c>
      <c r="F113" s="5" t="s">
        <v>48</v>
      </c>
      <c r="G113" s="6">
        <v>13070.3</v>
      </c>
      <c r="H113" s="7">
        <v>45518</v>
      </c>
      <c r="I113" s="5" t="s">
        <v>27</v>
      </c>
      <c r="J113" s="5" t="s">
        <v>56</v>
      </c>
    </row>
    <row r="114" spans="1:10" ht="15" customHeight="1" x14ac:dyDescent="0.25">
      <c r="A114" s="2" t="s">
        <v>179</v>
      </c>
      <c r="B114" s="2" t="s">
        <v>11</v>
      </c>
      <c r="C114" s="2" t="s">
        <v>12</v>
      </c>
      <c r="D114" s="2" t="s">
        <v>59</v>
      </c>
      <c r="E114" s="2" t="s">
        <v>98</v>
      </c>
      <c r="F114" s="2" t="s">
        <v>43</v>
      </c>
      <c r="G114" s="3">
        <v>11856.26</v>
      </c>
      <c r="H114" s="4">
        <v>45501</v>
      </c>
      <c r="I114" s="2" t="s">
        <v>21</v>
      </c>
      <c r="J114" s="2" t="s">
        <v>33</v>
      </c>
    </row>
    <row r="115" spans="1:10" ht="15" customHeight="1" x14ac:dyDescent="0.25">
      <c r="A115" s="5" t="s">
        <v>180</v>
      </c>
      <c r="B115" s="5" t="s">
        <v>73</v>
      </c>
      <c r="C115" s="5" t="s">
        <v>74</v>
      </c>
      <c r="D115" s="5" t="s">
        <v>41</v>
      </c>
      <c r="E115" s="5" t="s">
        <v>42</v>
      </c>
      <c r="F115" s="5" t="s">
        <v>43</v>
      </c>
      <c r="G115" s="6">
        <v>17403.11</v>
      </c>
      <c r="H115" s="7">
        <v>45439</v>
      </c>
      <c r="I115" s="5" t="s">
        <v>27</v>
      </c>
      <c r="J115" s="5" t="s">
        <v>33</v>
      </c>
    </row>
    <row r="116" spans="1:10" ht="15" customHeight="1" x14ac:dyDescent="0.25">
      <c r="A116" s="2" t="s">
        <v>181</v>
      </c>
      <c r="B116" s="2" t="s">
        <v>39</v>
      </c>
      <c r="C116" s="2" t="s">
        <v>40</v>
      </c>
      <c r="D116" s="2" t="s">
        <v>41</v>
      </c>
      <c r="E116" s="2" t="s">
        <v>75</v>
      </c>
      <c r="F116" s="2" t="s">
        <v>43</v>
      </c>
      <c r="G116" s="3">
        <v>6459.49</v>
      </c>
      <c r="H116" s="4">
        <v>45351</v>
      </c>
      <c r="I116" s="2" t="s">
        <v>27</v>
      </c>
      <c r="J116" s="2" t="s">
        <v>56</v>
      </c>
    </row>
    <row r="117" spans="1:10" ht="15" customHeight="1" x14ac:dyDescent="0.25">
      <c r="A117" s="5" t="s">
        <v>182</v>
      </c>
      <c r="B117" s="5" t="s">
        <v>50</v>
      </c>
      <c r="C117" s="5" t="s">
        <v>51</v>
      </c>
      <c r="D117" s="5" t="s">
        <v>25</v>
      </c>
      <c r="E117" s="5" t="s">
        <v>87</v>
      </c>
      <c r="F117" s="5" t="s">
        <v>37</v>
      </c>
      <c r="G117" s="6">
        <v>4852.05</v>
      </c>
      <c r="H117" s="7">
        <v>45477</v>
      </c>
      <c r="I117" s="5" t="s">
        <v>16</v>
      </c>
      <c r="J117" s="5" t="s">
        <v>33</v>
      </c>
    </row>
    <row r="118" spans="1:10" ht="15" customHeight="1" x14ac:dyDescent="0.25">
      <c r="A118" s="2" t="s">
        <v>183</v>
      </c>
      <c r="B118" s="2" t="s">
        <v>29</v>
      </c>
      <c r="C118" s="2" t="s">
        <v>30</v>
      </c>
      <c r="D118" s="2" t="s">
        <v>41</v>
      </c>
      <c r="E118" s="2" t="s">
        <v>87</v>
      </c>
      <c r="F118" s="2" t="s">
        <v>43</v>
      </c>
      <c r="G118" s="3">
        <v>13820.65</v>
      </c>
      <c r="H118" s="4">
        <v>45439</v>
      </c>
      <c r="I118" s="2" t="s">
        <v>16</v>
      </c>
      <c r="J118" s="2" t="s">
        <v>17</v>
      </c>
    </row>
    <row r="119" spans="1:10" ht="15" customHeight="1" x14ac:dyDescent="0.25">
      <c r="A119" s="5" t="s">
        <v>184</v>
      </c>
      <c r="B119" s="5" t="s">
        <v>35</v>
      </c>
      <c r="C119" s="5" t="s">
        <v>36</v>
      </c>
      <c r="D119" s="5" t="s">
        <v>25</v>
      </c>
      <c r="E119" s="5" t="s">
        <v>95</v>
      </c>
      <c r="F119" s="5" t="s">
        <v>48</v>
      </c>
      <c r="G119" s="6">
        <v>17802.61</v>
      </c>
      <c r="H119" s="7">
        <v>45451</v>
      </c>
      <c r="I119" s="5" t="s">
        <v>27</v>
      </c>
      <c r="J119" s="5" t="s">
        <v>33</v>
      </c>
    </row>
    <row r="120" spans="1:10" ht="15" customHeight="1" x14ac:dyDescent="0.25">
      <c r="A120" s="2" t="s">
        <v>185</v>
      </c>
      <c r="B120" s="2" t="s">
        <v>35</v>
      </c>
      <c r="C120" s="2" t="s">
        <v>36</v>
      </c>
      <c r="D120" s="2" t="s">
        <v>41</v>
      </c>
      <c r="E120" s="2" t="s">
        <v>67</v>
      </c>
      <c r="F120" s="2" t="s">
        <v>15</v>
      </c>
      <c r="G120" s="3">
        <v>0</v>
      </c>
      <c r="H120" s="4">
        <v>45350</v>
      </c>
      <c r="I120" s="2" t="s">
        <v>27</v>
      </c>
      <c r="J120" s="2" t="s">
        <v>33</v>
      </c>
    </row>
    <row r="121" spans="1:10" ht="15" customHeight="1" x14ac:dyDescent="0.25">
      <c r="A121" s="5" t="s">
        <v>186</v>
      </c>
      <c r="B121" s="5" t="s">
        <v>45</v>
      </c>
      <c r="C121" s="5" t="s">
        <v>46</v>
      </c>
      <c r="D121" s="5" t="s">
        <v>41</v>
      </c>
      <c r="E121" s="5" t="s">
        <v>87</v>
      </c>
      <c r="F121" s="5" t="s">
        <v>15</v>
      </c>
      <c r="G121" s="6">
        <v>17694.21</v>
      </c>
      <c r="H121" s="7">
        <v>45504</v>
      </c>
      <c r="I121" s="5" t="s">
        <v>27</v>
      </c>
      <c r="J121" s="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5"/>
  <sheetViews>
    <sheetView topLeftCell="A17" zoomScaleNormal="100" workbookViewId="0">
      <selection activeCell="C25" sqref="C25"/>
    </sheetView>
  </sheetViews>
  <sheetFormatPr defaultColWidth="8.7109375" defaultRowHeight="15" x14ac:dyDescent="0.25"/>
  <cols>
    <col min="1" max="1" width="12.28515625" bestFit="1" customWidth="1"/>
    <col min="2" max="2" width="16.42578125" bestFit="1" customWidth="1"/>
    <col min="3" max="3" width="14.28515625" bestFit="1" customWidth="1"/>
    <col min="4" max="4" width="20.85546875" bestFit="1" customWidth="1"/>
    <col min="5" max="5" width="16.42578125" bestFit="1" customWidth="1"/>
    <col min="6" max="6" width="14.28515625" bestFit="1" customWidth="1"/>
    <col min="7" max="7" width="20.85546875" bestFit="1" customWidth="1"/>
    <col min="8" max="8" width="14.28515625" bestFit="1" customWidth="1"/>
    <col min="9" max="9" width="12.42578125" customWidth="1"/>
    <col min="10" max="10" width="17.28515625" bestFit="1" customWidth="1"/>
    <col min="11" max="11" width="20.85546875" bestFit="1" customWidth="1"/>
    <col min="12" max="12" width="11.28515625" bestFit="1" customWidth="1"/>
    <col min="13" max="13" width="17.28515625" bestFit="1" customWidth="1"/>
    <col min="14" max="14" width="20.85546875" bestFit="1" customWidth="1"/>
  </cols>
  <sheetData>
    <row r="2" spans="2:14" ht="15.75" thickBot="1" x14ac:dyDescent="0.3"/>
    <row r="3" spans="2:14" x14ac:dyDescent="0.25">
      <c r="B3" s="12" t="s">
        <v>187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2:14" ht="15.75" thickBo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2:14" ht="15" customHeight="1" thickBot="1" x14ac:dyDescent="0.3"/>
    <row r="6" spans="2:14" ht="15" customHeight="1" thickBot="1" x14ac:dyDescent="0.3">
      <c r="B6" s="9" t="s">
        <v>0</v>
      </c>
      <c r="C6" s="11" t="s">
        <v>178</v>
      </c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</row>
    <row r="7" spans="2:14" ht="15" customHeight="1" x14ac:dyDescent="0.25">
      <c r="B7" s="1" t="s">
        <v>1</v>
      </c>
      <c r="C7" s="10" t="str">
        <f>VLOOKUP('Vlookup and xlookup'!$C$6,Sales_Data!$A$1:$J$121,2,0)</f>
        <v>EMP-108</v>
      </c>
      <c r="E7" s="5" t="s">
        <v>55</v>
      </c>
      <c r="F7" s="5" t="str" cm="1">
        <f t="array" ref="F7:N7">VLOOKUP($E$7,Sales_Data!$A$1:$J$121,{2,3,4,5,6,7,8,9,10},0)</f>
        <v>EMP-102</v>
      </c>
      <c r="G7" s="5" t="str">
        <v>Bob Smith</v>
      </c>
      <c r="H7" s="5" t="str">
        <v>International</v>
      </c>
      <c r="I7" s="5" t="str">
        <v>PRD-008</v>
      </c>
      <c r="J7" s="5" t="str">
        <v>Apparel</v>
      </c>
      <c r="K7" s="5">
        <v>15306.45</v>
      </c>
      <c r="L7" s="5">
        <v>45379</v>
      </c>
      <c r="M7" s="5" t="str">
        <v>Trial</v>
      </c>
      <c r="N7" s="5" t="str">
        <v>Refunded</v>
      </c>
    </row>
    <row r="8" spans="2:14" ht="15" customHeight="1" x14ac:dyDescent="0.25">
      <c r="B8" s="1" t="s">
        <v>2</v>
      </c>
      <c r="C8" s="8" t="str">
        <f>VLOOKUP('Vlookup and xlookup'!$C$6,Sales_Data!$A$1:$J$121,3,0)</f>
        <v>Henry Moore</v>
      </c>
    </row>
    <row r="9" spans="2:14" ht="15" customHeight="1" x14ac:dyDescent="0.25">
      <c r="B9" s="1" t="s">
        <v>3</v>
      </c>
      <c r="C9" s="8" t="str">
        <f>VLOOKUP('Vlookup and xlookup'!$C$6,Sales_Data!$A$1:$J$121,4,0)</f>
        <v>East</v>
      </c>
    </row>
    <row r="10" spans="2:14" ht="15" customHeight="1" x14ac:dyDescent="0.25">
      <c r="B10" s="1" t="s">
        <v>4</v>
      </c>
      <c r="C10" s="8" t="str">
        <f>VLOOKUP('Vlookup and xlookup'!$C$6,Sales_Data!$A$1:$J$121,5,0)</f>
        <v>PRD-006</v>
      </c>
    </row>
    <row r="11" spans="2:14" ht="15" customHeight="1" x14ac:dyDescent="0.25">
      <c r="B11" s="1" t="s">
        <v>5</v>
      </c>
      <c r="C11" s="8" t="str">
        <f>VLOOKUP('Vlookup and xlookup'!$C$6,Sales_Data!$A$1:$J$121,6,0)</f>
        <v>Services</v>
      </c>
    </row>
    <row r="12" spans="2:14" ht="15" customHeight="1" x14ac:dyDescent="0.25">
      <c r="B12" s="1" t="s">
        <v>6</v>
      </c>
      <c r="C12" s="8">
        <f>VLOOKUP('Vlookup and xlookup'!$C$6,Sales_Data!$A$1:$J$121,7,0)</f>
        <v>13070.3</v>
      </c>
    </row>
    <row r="13" spans="2:14" ht="15" customHeight="1" x14ac:dyDescent="0.25">
      <c r="B13" s="1" t="s">
        <v>7</v>
      </c>
      <c r="C13" s="8">
        <f>VLOOKUP('Vlookup and xlookup'!$C$6,Sales_Data!$A$1:$J$121,8,0)</f>
        <v>45518</v>
      </c>
    </row>
    <row r="14" spans="2:14" ht="15" customHeight="1" x14ac:dyDescent="0.25">
      <c r="B14" s="1" t="s">
        <v>8</v>
      </c>
      <c r="C14" s="8" t="str">
        <f>VLOOKUP('Vlookup and xlookup'!$C$6,Sales_Data!$A$1:$J$121,9,0)</f>
        <v>Trial</v>
      </c>
    </row>
    <row r="15" spans="2:14" ht="15" customHeight="1" x14ac:dyDescent="0.25">
      <c r="B15" s="1" t="s">
        <v>9</v>
      </c>
      <c r="C15" s="8" t="str">
        <f>VLOOKUP('Vlookup and xlookup'!$C$6,Sales_Data!$A$1:$J$121,10,0)</f>
        <v>Refunded</v>
      </c>
    </row>
    <row r="16" spans="2:14" ht="15" customHeight="1" thickBot="1" x14ac:dyDescent="0.3"/>
    <row r="17" spans="2:12" ht="15" customHeight="1" x14ac:dyDescent="0.25">
      <c r="B17" s="12" t="s">
        <v>188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2:12" ht="15" customHeight="1" thickBot="1" x14ac:dyDescent="0.3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2:12" ht="15" customHeight="1" x14ac:dyDescent="0.25"/>
    <row r="20" spans="2:12" ht="15" customHeight="1" x14ac:dyDescent="0.2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</row>
    <row r="21" spans="2:12" ht="15" customHeight="1" x14ac:dyDescent="0.25">
      <c r="B21" s="5" t="s">
        <v>10</v>
      </c>
      <c r="C21" s="5" t="str" cm="1">
        <f t="array" ref="C21:K21">_xlfn.XLOOKUP($B$21,Sales_Data!A2:A121,Sales_Data!B2:J121)</f>
        <v>EMP-102</v>
      </c>
      <c r="D21" s="5" t="str">
        <v>Bob Smith</v>
      </c>
      <c r="E21" s="5" t="str">
        <v>South</v>
      </c>
      <c r="F21" s="5" t="str">
        <v>PRD-008</v>
      </c>
      <c r="G21" s="5" t="str">
        <v>Apparel</v>
      </c>
      <c r="H21" s="5">
        <v>820.27</v>
      </c>
      <c r="I21" s="5">
        <v>45432</v>
      </c>
      <c r="J21" s="5" t="str">
        <v>Premium</v>
      </c>
      <c r="K21" s="5" t="str">
        <v>Pending</v>
      </c>
    </row>
    <row r="22" spans="2:12" ht="15" customHeight="1" x14ac:dyDescent="0.25"/>
    <row r="23" spans="2:12" ht="15" customHeight="1" x14ac:dyDescent="0.25"/>
    <row r="24" spans="2:12" ht="15" customHeight="1" x14ac:dyDescent="0.25"/>
    <row r="25" spans="2:12" ht="15" customHeight="1" x14ac:dyDescent="0.25"/>
  </sheetData>
  <mergeCells count="2">
    <mergeCell ref="B3:L4"/>
    <mergeCell ref="B17:L18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9F3713-CF79-44DD-A387-ED3C33E151BB}">
          <x14:formula1>
            <xm:f>Sales_Data!$A$103:$A$121</xm:f>
          </x14:formula1>
          <xm:sqref>C6</xm:sqref>
        </x14:dataValidation>
        <x14:dataValidation type="list" allowBlank="1" showInputMessage="1" showErrorMessage="1" xr:uid="{87D3E117-325A-4354-9AAB-5ACEAF4065CC}">
          <x14:formula1>
            <xm:f>Sales_Data!$A$2:$A$121</xm:f>
          </x14:formula1>
          <xm:sqref>E7 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A81C-CD21-4C0C-938D-68CA98AF8371}">
  <dimension ref="B2:K7"/>
  <sheetViews>
    <sheetView workbookViewId="0">
      <selection activeCell="F16" sqref="F16"/>
    </sheetView>
  </sheetViews>
  <sheetFormatPr defaultRowHeight="15" x14ac:dyDescent="0.25"/>
  <cols>
    <col min="2" max="2" width="16.42578125" bestFit="1" customWidth="1"/>
    <col min="3" max="3" width="14.28515625" bestFit="1" customWidth="1"/>
    <col min="4" max="4" width="20.85546875" bestFit="1" customWidth="1"/>
    <col min="5" max="5" width="8.28515625" bestFit="1" customWidth="1"/>
    <col min="6" max="6" width="12.28515625" bestFit="1" customWidth="1"/>
    <col min="7" max="7" width="10.140625" bestFit="1" customWidth="1"/>
    <col min="8" max="8" width="14.28515625" bestFit="1" customWidth="1"/>
    <col min="9" max="9" width="11.28515625" bestFit="1" customWidth="1"/>
    <col min="10" max="10" width="17.28515625" bestFit="1" customWidth="1"/>
    <col min="11" max="11" width="20.85546875" bestFit="1" customWidth="1"/>
  </cols>
  <sheetData>
    <row r="2" spans="2:11" ht="15.75" thickBot="1" x14ac:dyDescent="0.3"/>
    <row r="3" spans="2:11" x14ac:dyDescent="0.25">
      <c r="B3" s="18" t="s">
        <v>189</v>
      </c>
      <c r="C3" s="19"/>
      <c r="D3" s="19"/>
      <c r="E3" s="19"/>
      <c r="F3" s="19"/>
      <c r="G3" s="19"/>
      <c r="H3" s="19"/>
      <c r="I3" s="19"/>
      <c r="J3" s="19"/>
      <c r="K3" s="20"/>
    </row>
    <row r="4" spans="2:11" ht="15.75" thickBot="1" x14ac:dyDescent="0.3">
      <c r="B4" s="21"/>
      <c r="C4" s="22"/>
      <c r="D4" s="22"/>
      <c r="E4" s="22"/>
      <c r="F4" s="22"/>
      <c r="G4" s="22"/>
      <c r="H4" s="22"/>
      <c r="I4" s="22"/>
      <c r="J4" s="22"/>
      <c r="K4" s="23"/>
    </row>
    <row r="6" spans="2:1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</row>
    <row r="7" spans="2:11" x14ac:dyDescent="0.25">
      <c r="B7" s="5" t="s">
        <v>179</v>
      </c>
      <c r="C7" s="5" t="str">
        <f>INDEX(Sales_Data!B103:B121,MATCH('index+match'!B7,Sales_Data!A103:A121,0))</f>
        <v>EMP-102</v>
      </c>
      <c r="D7" s="5" t="str">
        <f>INDEX(Sales_Data!C103:C121,MATCH('index+match'!C7,Sales_Data!B103:B121,0))</f>
        <v>Bob Smith</v>
      </c>
      <c r="E7" s="5" t="str">
        <f>INDEX(Sales_Data!D103:D121,MATCH('index+match'!D7,Sales_Data!C103:C121,0))</f>
        <v>East</v>
      </c>
      <c r="F7" s="5" t="str">
        <f>INDEX(Sales_Data!E103:E121,MATCH('index+match'!E7,Sales_Data!D103:D121,0))</f>
        <v>PRD-020</v>
      </c>
      <c r="G7" s="5" t="str">
        <f>INDEX(Sales_Data!F103:F121,MATCH('index+match'!F7,Sales_Data!E103:E121,0))</f>
        <v>Electronics</v>
      </c>
      <c r="H7" s="5">
        <f>INDEX(Sales_Data!G103:G121,MATCH('index+match'!G7,Sales_Data!F103:F121,0))</f>
        <v>24752.78</v>
      </c>
      <c r="I7" s="5">
        <f>INDEX(Sales_Data!H103:H121,MATCH('index+match'!H7,Sales_Data!G103:G121,0))</f>
        <v>45448</v>
      </c>
      <c r="J7" s="5" t="str">
        <f>INDEX(Sales_Data!I103:I121,MATCH('index+match'!I7,Sales_Data!H103:H121,0))</f>
        <v>Premium</v>
      </c>
      <c r="K7" s="5" t="str">
        <f>INDEX(Sales_Data!J103:J121,MATCH('index+match'!J7,Sales_Data!I103:I121,0))</f>
        <v>Completed</v>
      </c>
    </row>
  </sheetData>
  <mergeCells count="1">
    <mergeCell ref="B3:K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F7EB61-A731-42E0-83E0-40395D053F53}">
          <x14:formula1>
            <xm:f>Sales_Data!$A$103:$A$121</xm:f>
          </x14:formula1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0146-6F00-436C-893E-A216F2770143}">
  <dimension ref="B2:J122"/>
  <sheetViews>
    <sheetView workbookViewId="0">
      <selection activeCell="J6" sqref="J6"/>
    </sheetView>
  </sheetViews>
  <sheetFormatPr defaultRowHeight="15" x14ac:dyDescent="0.25"/>
  <cols>
    <col min="2" max="2" width="16.42578125" bestFit="1" customWidth="1"/>
    <col min="3" max="3" width="14.28515625" bestFit="1" customWidth="1"/>
    <col min="4" max="4" width="20.85546875" bestFit="1" customWidth="1"/>
    <col min="5" max="5" width="12.5703125" bestFit="1" customWidth="1"/>
    <col min="6" max="6" width="12.28515625" bestFit="1" customWidth="1"/>
    <col min="7" max="7" width="10.140625" bestFit="1" customWidth="1"/>
    <col min="8" max="8" width="14.28515625" bestFit="1" customWidth="1"/>
    <col min="9" max="9" width="12.140625" bestFit="1" customWidth="1"/>
    <col min="10" max="10" width="21.140625" bestFit="1" customWidth="1"/>
    <col min="11" max="11" width="20.85546875" bestFit="1" customWidth="1"/>
  </cols>
  <sheetData>
    <row r="2" spans="2:10" x14ac:dyDescent="0.25">
      <c r="B2" s="1" t="s">
        <v>4</v>
      </c>
      <c r="C2" s="1" t="s">
        <v>5</v>
      </c>
      <c r="D2" s="24" t="s">
        <v>6</v>
      </c>
      <c r="F2" s="24" t="s">
        <v>190</v>
      </c>
      <c r="H2" s="24" t="s">
        <v>191</v>
      </c>
      <c r="J2" s="24" t="s">
        <v>192</v>
      </c>
    </row>
    <row r="3" spans="2:10" x14ac:dyDescent="0.25">
      <c r="B3" s="2" t="s">
        <v>14</v>
      </c>
      <c r="C3" s="2" t="s">
        <v>15</v>
      </c>
      <c r="D3" s="3">
        <v>820.27</v>
      </c>
      <c r="F3" s="5" t="str">
        <f>IF(D3&lt;500,"Negligible",IF(D3&lt;5000,"LOW",IF(D3&lt;10000,"MEDIUM","HIGH")))</f>
        <v>LOW</v>
      </c>
      <c r="H3" s="5" t="str" cm="1">
        <f t="array" ref="H3">_xlfn.IFS(D3&gt;10000,"HIGH",D3&gt;5000,"MEDIUM",D3&gt;500,"LOW",TRUE,"NEGLIGIBLE")</f>
        <v>LOW</v>
      </c>
      <c r="J3" s="5">
        <f>IFERROR(1/D3,"can not devide by zero")</f>
        <v>1.2191107805966329E-3</v>
      </c>
    </row>
    <row r="4" spans="2:10" x14ac:dyDescent="0.25">
      <c r="B4" s="5" t="s">
        <v>20</v>
      </c>
      <c r="C4" s="5" t="s">
        <v>15</v>
      </c>
      <c r="D4" s="6">
        <v>14844.21</v>
      </c>
      <c r="F4" s="5" t="str">
        <f t="shared" ref="F4:F67" si="0">IF(D4&lt;500,"Negligible",IF(D4&lt;5000,"LOW",IF(D4&lt;10000,"MEDIUM","HIGH")))</f>
        <v>HIGH</v>
      </c>
      <c r="H4" s="5" t="str" cm="1">
        <f t="array" ref="H4">_xlfn.IFS(D4&gt;10000,"HIGH",D4&gt;5000,"MEDIUM",D4&gt;500,"LOW",TRUE,"NEGLIGIBLE")</f>
        <v>HIGH</v>
      </c>
      <c r="J4" s="5">
        <f t="shared" ref="J4:J67" si="1">IFERROR(1/D4,"can not devide by zero")</f>
        <v>6.7366333405415315E-5</v>
      </c>
    </row>
    <row r="5" spans="2:10" x14ac:dyDescent="0.25">
      <c r="B5" s="2" t="s">
        <v>26</v>
      </c>
      <c r="C5" s="2" t="s">
        <v>15</v>
      </c>
      <c r="D5" s="3">
        <v>858.09</v>
      </c>
      <c r="F5" s="5" t="str">
        <f t="shared" si="0"/>
        <v>LOW</v>
      </c>
      <c r="H5" s="5" t="str" cm="1">
        <f t="array" ref="H5">_xlfn.IFS(D5&gt;10000,"HIGH",D5&gt;5000,"MEDIUM",D5&gt;500,"LOW",TRUE,"NEGLIGIBLE")</f>
        <v>LOW</v>
      </c>
      <c r="J5" s="5">
        <f t="shared" si="1"/>
        <v>1.1653789229567994E-3</v>
      </c>
    </row>
    <row r="6" spans="2:10" x14ac:dyDescent="0.25">
      <c r="B6" s="5" t="s">
        <v>26</v>
      </c>
      <c r="C6" s="5" t="s">
        <v>31</v>
      </c>
      <c r="D6" s="6">
        <v>20273.88</v>
      </c>
      <c r="F6" s="5" t="str">
        <f t="shared" si="0"/>
        <v>HIGH</v>
      </c>
      <c r="H6" s="5" t="str" cm="1">
        <f t="array" ref="H6">_xlfn.IFS(D6&gt;10000,"HIGH",D6&gt;5000,"MEDIUM",D6&gt;500,"LOW",TRUE,"NEGLIGIBLE")</f>
        <v>HIGH</v>
      </c>
      <c r="J6" s="5">
        <f t="shared" si="1"/>
        <v>4.932454961753744E-5</v>
      </c>
    </row>
    <row r="7" spans="2:10" x14ac:dyDescent="0.25">
      <c r="B7" s="2" t="s">
        <v>20</v>
      </c>
      <c r="C7" s="2" t="s">
        <v>37</v>
      </c>
      <c r="D7" s="3">
        <v>23938.880000000001</v>
      </c>
      <c r="F7" s="5" t="str">
        <f t="shared" si="0"/>
        <v>HIGH</v>
      </c>
      <c r="H7" s="5" t="str" cm="1">
        <f t="array" ref="H7">_xlfn.IFS(D7&gt;10000,"HIGH",D7&gt;5000,"MEDIUM",D7&gt;500,"LOW",TRUE,"NEGLIGIBLE")</f>
        <v>HIGH</v>
      </c>
      <c r="J7" s="5">
        <f t="shared" si="1"/>
        <v>4.1773048697349248E-5</v>
      </c>
    </row>
    <row r="8" spans="2:10" x14ac:dyDescent="0.25">
      <c r="B8" s="5" t="s">
        <v>42</v>
      </c>
      <c r="C8" s="5" t="s">
        <v>43</v>
      </c>
      <c r="D8" s="6">
        <v>15172.41</v>
      </c>
      <c r="F8" s="5" t="str">
        <f t="shared" si="0"/>
        <v>HIGH</v>
      </c>
      <c r="H8" s="5" t="str" cm="1">
        <f t="array" ref="H8">_xlfn.IFS(D8&gt;10000,"HIGH",D8&gt;5000,"MEDIUM",D8&gt;500,"LOW",TRUE,"NEGLIGIBLE")</f>
        <v>HIGH</v>
      </c>
      <c r="J8" s="5">
        <f t="shared" si="1"/>
        <v>6.5909107386367751E-5</v>
      </c>
    </row>
    <row r="9" spans="2:10" x14ac:dyDescent="0.25">
      <c r="B9" s="2" t="s">
        <v>47</v>
      </c>
      <c r="C9" s="2" t="s">
        <v>48</v>
      </c>
      <c r="D9" s="3">
        <v>7470.82</v>
      </c>
      <c r="F9" s="5" t="str">
        <f t="shared" si="0"/>
        <v>MEDIUM</v>
      </c>
      <c r="H9" s="5" t="str" cm="1">
        <f t="array" ref="H9">_xlfn.IFS(D9&gt;10000,"HIGH",D9&gt;5000,"MEDIUM",D9&gt;500,"LOW",TRUE,"NEGLIGIBLE")</f>
        <v>MEDIUM</v>
      </c>
      <c r="J9" s="5">
        <f t="shared" si="1"/>
        <v>1.3385411507705982E-4</v>
      </c>
    </row>
    <row r="10" spans="2:10" x14ac:dyDescent="0.25">
      <c r="B10" s="5" t="s">
        <v>14</v>
      </c>
      <c r="C10" s="5" t="s">
        <v>43</v>
      </c>
      <c r="D10" s="6">
        <v>16599.330000000002</v>
      </c>
      <c r="F10" s="5" t="str">
        <f t="shared" si="0"/>
        <v>HIGH</v>
      </c>
      <c r="H10" s="5" t="str" cm="1">
        <f t="array" ref="H10">_xlfn.IFS(D10&gt;10000,"HIGH",D10&gt;5000,"MEDIUM",D10&gt;500,"LOW",TRUE,"NEGLIGIBLE")</f>
        <v>HIGH</v>
      </c>
      <c r="J10" s="5">
        <f t="shared" si="1"/>
        <v>6.0243395365957535E-5</v>
      </c>
    </row>
    <row r="11" spans="2:10" x14ac:dyDescent="0.25">
      <c r="B11" s="2" t="s">
        <v>47</v>
      </c>
      <c r="C11" s="2" t="s">
        <v>31</v>
      </c>
      <c r="D11" s="3">
        <v>15964.97</v>
      </c>
      <c r="F11" s="5" t="str">
        <f t="shared" si="0"/>
        <v>HIGH</v>
      </c>
      <c r="H11" s="5" t="str" cm="1">
        <f t="array" ref="H11">_xlfn.IFS(D11&gt;10000,"HIGH",D11&gt;5000,"MEDIUM",D11&gt;500,"LOW",TRUE,"NEGLIGIBLE")</f>
        <v>HIGH</v>
      </c>
      <c r="J11" s="5">
        <f t="shared" si="1"/>
        <v>6.2637136180024143E-5</v>
      </c>
    </row>
    <row r="12" spans="2:10" x14ac:dyDescent="0.25">
      <c r="B12" s="5" t="s">
        <v>14</v>
      </c>
      <c r="C12" s="5" t="s">
        <v>15</v>
      </c>
      <c r="D12" s="6">
        <v>15306.45</v>
      </c>
      <c r="F12" s="5" t="str">
        <f t="shared" si="0"/>
        <v>HIGH</v>
      </c>
      <c r="H12" s="5" t="str" cm="1">
        <f t="array" ref="H12">_xlfn.IFS(D12&gt;10000,"HIGH",D12&gt;5000,"MEDIUM",D12&gt;500,"LOW",TRUE,"NEGLIGIBLE")</f>
        <v>HIGH</v>
      </c>
      <c r="J12" s="5">
        <f t="shared" si="1"/>
        <v>6.5331935229919415E-5</v>
      </c>
    </row>
    <row r="13" spans="2:10" x14ac:dyDescent="0.25">
      <c r="B13" s="2" t="s">
        <v>14</v>
      </c>
      <c r="C13" s="2" t="s">
        <v>31</v>
      </c>
      <c r="D13" s="3">
        <v>24740.18</v>
      </c>
      <c r="F13" s="5" t="str">
        <f t="shared" si="0"/>
        <v>HIGH</v>
      </c>
      <c r="H13" s="5" t="str" cm="1">
        <f t="array" ref="H13">_xlfn.IFS(D13&gt;10000,"HIGH",D13&gt;5000,"MEDIUM",D13&gt;500,"LOW",TRUE,"NEGLIGIBLE")</f>
        <v>HIGH</v>
      </c>
      <c r="J13" s="5">
        <f t="shared" si="1"/>
        <v>4.0420077784397686E-5</v>
      </c>
    </row>
    <row r="14" spans="2:10" x14ac:dyDescent="0.25">
      <c r="B14" s="5" t="s">
        <v>20</v>
      </c>
      <c r="C14" s="5" t="s">
        <v>15</v>
      </c>
      <c r="D14" s="6">
        <v>20165.14</v>
      </c>
      <c r="F14" s="5" t="str">
        <f t="shared" si="0"/>
        <v>HIGH</v>
      </c>
      <c r="H14" s="5" t="str" cm="1">
        <f t="array" ref="H14">_xlfn.IFS(D14&gt;10000,"HIGH",D14&gt;5000,"MEDIUM",D14&gt;500,"LOW",TRUE,"NEGLIGIBLE")</f>
        <v>HIGH</v>
      </c>
      <c r="J14" s="5">
        <f t="shared" si="1"/>
        <v>4.9590530985651476E-5</v>
      </c>
    </row>
    <row r="15" spans="2:10" x14ac:dyDescent="0.25">
      <c r="B15" s="2" t="s">
        <v>61</v>
      </c>
      <c r="C15" s="2" t="s">
        <v>31</v>
      </c>
      <c r="D15" s="3">
        <v>10011.67</v>
      </c>
      <c r="F15" s="5" t="str">
        <f t="shared" si="0"/>
        <v>HIGH</v>
      </c>
      <c r="H15" s="5" t="str" cm="1">
        <f t="array" ref="H15">_xlfn.IFS(D15&gt;10000,"HIGH",D15&gt;5000,"MEDIUM",D15&gt;500,"LOW",TRUE,"NEGLIGIBLE")</f>
        <v>HIGH</v>
      </c>
      <c r="J15" s="5">
        <f t="shared" si="1"/>
        <v>9.9883436030152813E-5</v>
      </c>
    </row>
    <row r="16" spans="2:10" x14ac:dyDescent="0.25">
      <c r="B16" s="5" t="s">
        <v>63</v>
      </c>
      <c r="C16" s="5" t="s">
        <v>37</v>
      </c>
      <c r="D16" s="6">
        <v>13566.64</v>
      </c>
      <c r="F16" s="5" t="str">
        <f t="shared" si="0"/>
        <v>HIGH</v>
      </c>
      <c r="H16" s="5" t="str" cm="1">
        <f t="array" ref="H16">_xlfn.IFS(D16&gt;10000,"HIGH",D16&gt;5000,"MEDIUM",D16&gt;500,"LOW",TRUE,"NEGLIGIBLE")</f>
        <v>HIGH</v>
      </c>
      <c r="J16" s="5">
        <f t="shared" si="1"/>
        <v>7.3710218595024268E-5</v>
      </c>
    </row>
    <row r="17" spans="2:10" x14ac:dyDescent="0.25">
      <c r="B17" s="2" t="s">
        <v>67</v>
      </c>
      <c r="C17" s="2" t="s">
        <v>15</v>
      </c>
      <c r="D17" s="3">
        <v>12836.25</v>
      </c>
      <c r="F17" s="5" t="str">
        <f t="shared" si="0"/>
        <v>HIGH</v>
      </c>
      <c r="H17" s="5" t="str" cm="1">
        <f t="array" ref="H17">_xlfn.IFS(D17&gt;10000,"HIGH",D17&gt;5000,"MEDIUM",D17&gt;500,"LOW",TRUE,"NEGLIGIBLE")</f>
        <v>HIGH</v>
      </c>
      <c r="J17" s="5">
        <f t="shared" si="1"/>
        <v>7.7904372382899993E-5</v>
      </c>
    </row>
    <row r="18" spans="2:10" x14ac:dyDescent="0.25">
      <c r="B18" s="5" t="s">
        <v>69</v>
      </c>
      <c r="C18" s="5" t="s">
        <v>48</v>
      </c>
      <c r="D18" s="6">
        <v>1775.49</v>
      </c>
      <c r="F18" s="5" t="str">
        <f t="shared" si="0"/>
        <v>LOW</v>
      </c>
      <c r="H18" s="5" t="str" cm="1">
        <f t="array" ref="H18">_xlfn.IFS(D18&gt;10000,"HIGH",D18&gt;5000,"MEDIUM",D18&gt;500,"LOW",TRUE,"NEGLIGIBLE")</f>
        <v>LOW</v>
      </c>
      <c r="J18" s="5">
        <f t="shared" si="1"/>
        <v>5.632247999143898E-4</v>
      </c>
    </row>
    <row r="19" spans="2:10" x14ac:dyDescent="0.25">
      <c r="B19" s="2" t="s">
        <v>71</v>
      </c>
      <c r="C19" s="2" t="s">
        <v>31</v>
      </c>
      <c r="D19" s="3">
        <v>17071.03</v>
      </c>
      <c r="F19" s="5" t="str">
        <f t="shared" si="0"/>
        <v>HIGH</v>
      </c>
      <c r="H19" s="5" t="str" cm="1">
        <f t="array" ref="H19">_xlfn.IFS(D19&gt;10000,"HIGH",D19&gt;5000,"MEDIUM",D19&gt;500,"LOW",TRUE,"NEGLIGIBLE")</f>
        <v>HIGH</v>
      </c>
      <c r="J19" s="5">
        <f t="shared" si="1"/>
        <v>5.857877351278746E-5</v>
      </c>
    </row>
    <row r="20" spans="2:10" x14ac:dyDescent="0.25">
      <c r="B20" s="5" t="s">
        <v>75</v>
      </c>
      <c r="C20" s="5" t="s">
        <v>15</v>
      </c>
      <c r="D20" s="6">
        <v>4122.3100000000004</v>
      </c>
      <c r="F20" s="5" t="str">
        <f t="shared" si="0"/>
        <v>LOW</v>
      </c>
      <c r="H20" s="5" t="str" cm="1">
        <f t="array" ref="H20">_xlfn.IFS(D20&gt;10000,"HIGH",D20&gt;5000,"MEDIUM",D20&gt;500,"LOW",TRUE,"NEGLIGIBLE")</f>
        <v>LOW</v>
      </c>
      <c r="J20" s="5">
        <f t="shared" si="1"/>
        <v>2.4258243557616965E-4</v>
      </c>
    </row>
    <row r="21" spans="2:10" x14ac:dyDescent="0.25">
      <c r="B21" s="2" t="s">
        <v>77</v>
      </c>
      <c r="C21" s="2" t="s">
        <v>48</v>
      </c>
      <c r="D21" s="3">
        <v>0</v>
      </c>
      <c r="F21" s="5" t="str">
        <f t="shared" si="0"/>
        <v>Negligible</v>
      </c>
      <c r="H21" s="5" t="str" cm="1">
        <f t="array" ref="H21">_xlfn.IFS(D21&gt;10000,"HIGH",D21&gt;5000,"MEDIUM",D21&gt;500,"LOW",TRUE,"NEGLIGIBLE")</f>
        <v>NEGLIGIBLE</v>
      </c>
      <c r="J21" s="5" t="str">
        <f t="shared" si="1"/>
        <v>can not devide by zero</v>
      </c>
    </row>
    <row r="22" spans="2:10" x14ac:dyDescent="0.25">
      <c r="B22" s="5" t="s">
        <v>79</v>
      </c>
      <c r="C22" s="5" t="s">
        <v>15</v>
      </c>
      <c r="D22" s="6">
        <v>12317.42</v>
      </c>
      <c r="F22" s="5" t="str">
        <f t="shared" si="0"/>
        <v>HIGH</v>
      </c>
      <c r="H22" s="5" t="str" cm="1">
        <f t="array" ref="H22">_xlfn.IFS(D22&gt;10000,"HIGH",D22&gt;5000,"MEDIUM",D22&gt;500,"LOW",TRUE,"NEGLIGIBLE")</f>
        <v>HIGH</v>
      </c>
      <c r="J22" s="5">
        <f t="shared" si="1"/>
        <v>8.1185832747442241E-5</v>
      </c>
    </row>
    <row r="23" spans="2:10" x14ac:dyDescent="0.25">
      <c r="B23" s="2" t="s">
        <v>20</v>
      </c>
      <c r="C23" s="2" t="s">
        <v>48</v>
      </c>
      <c r="D23" s="3">
        <v>23684.35</v>
      </c>
      <c r="F23" s="5" t="str">
        <f t="shared" si="0"/>
        <v>HIGH</v>
      </c>
      <c r="H23" s="5" t="str" cm="1">
        <f t="array" ref="H23">_xlfn.IFS(D23&gt;10000,"HIGH",D23&gt;5000,"MEDIUM",D23&gt;500,"LOW",TRUE,"NEGLIGIBLE")</f>
        <v>HIGH</v>
      </c>
      <c r="J23" s="5">
        <f t="shared" si="1"/>
        <v>4.2221973581711135E-5</v>
      </c>
    </row>
    <row r="24" spans="2:10" x14ac:dyDescent="0.25">
      <c r="B24" s="5" t="s">
        <v>75</v>
      </c>
      <c r="C24" s="5" t="s">
        <v>48</v>
      </c>
      <c r="D24" s="6">
        <v>23681.85</v>
      </c>
      <c r="F24" s="5" t="str">
        <f t="shared" si="0"/>
        <v>HIGH</v>
      </c>
      <c r="H24" s="5" t="str" cm="1">
        <f t="array" ref="H24">_xlfn.IFS(D24&gt;10000,"HIGH",D24&gt;5000,"MEDIUM",D24&gt;500,"LOW",TRUE,"NEGLIGIBLE")</f>
        <v>HIGH</v>
      </c>
      <c r="J24" s="5">
        <f t="shared" si="1"/>
        <v>4.2226430789824276E-5</v>
      </c>
    </row>
    <row r="25" spans="2:10" x14ac:dyDescent="0.25">
      <c r="B25" s="2" t="s">
        <v>79</v>
      </c>
      <c r="C25" s="2" t="s">
        <v>37</v>
      </c>
      <c r="D25" s="3">
        <v>18930.580000000002</v>
      </c>
      <c r="F25" s="5" t="str">
        <f t="shared" si="0"/>
        <v>HIGH</v>
      </c>
      <c r="H25" s="5" t="str" cm="1">
        <f t="array" ref="H25">_xlfn.IFS(D25&gt;10000,"HIGH",D25&gt;5000,"MEDIUM",D25&gt;500,"LOW",TRUE,"NEGLIGIBLE")</f>
        <v>HIGH</v>
      </c>
      <c r="J25" s="5">
        <f t="shared" si="1"/>
        <v>5.2824583293274684E-5</v>
      </c>
    </row>
    <row r="26" spans="2:10" x14ac:dyDescent="0.25">
      <c r="B26" s="5" t="s">
        <v>20</v>
      </c>
      <c r="C26" s="5" t="s">
        <v>31</v>
      </c>
      <c r="D26" s="6">
        <v>11396.86</v>
      </c>
      <c r="F26" s="5" t="str">
        <f t="shared" si="0"/>
        <v>HIGH</v>
      </c>
      <c r="H26" s="5" t="str" cm="1">
        <f t="array" ref="H26">_xlfn.IFS(D26&gt;10000,"HIGH",D26&gt;5000,"MEDIUM",D26&gt;500,"LOW",TRUE,"NEGLIGIBLE")</f>
        <v>HIGH</v>
      </c>
      <c r="J26" s="5">
        <f t="shared" si="1"/>
        <v>8.7743466182790697E-5</v>
      </c>
    </row>
    <row r="27" spans="2:10" x14ac:dyDescent="0.25">
      <c r="B27" s="2" t="s">
        <v>20</v>
      </c>
      <c r="C27" s="2" t="s">
        <v>43</v>
      </c>
      <c r="D27" s="3">
        <v>5906.85</v>
      </c>
      <c r="F27" s="5" t="str">
        <f t="shared" si="0"/>
        <v>MEDIUM</v>
      </c>
      <c r="H27" s="5" t="str" cm="1">
        <f t="array" ref="H27">_xlfn.IFS(D27&gt;10000,"HIGH",D27&gt;5000,"MEDIUM",D27&gt;500,"LOW",TRUE,"NEGLIGIBLE")</f>
        <v>MEDIUM</v>
      </c>
      <c r="J27" s="5">
        <f t="shared" si="1"/>
        <v>1.6929497109288369E-4</v>
      </c>
    </row>
    <row r="28" spans="2:10" x14ac:dyDescent="0.25">
      <c r="B28" s="5" t="s">
        <v>14</v>
      </c>
      <c r="C28" s="5" t="s">
        <v>31</v>
      </c>
      <c r="D28" s="6">
        <v>21518.959999999999</v>
      </c>
      <c r="F28" s="5" t="str">
        <f t="shared" si="0"/>
        <v>HIGH</v>
      </c>
      <c r="H28" s="5" t="str" cm="1">
        <f t="array" ref="H28">_xlfn.IFS(D28&gt;10000,"HIGH",D28&gt;5000,"MEDIUM",D28&gt;500,"LOW",TRUE,"NEGLIGIBLE")</f>
        <v>HIGH</v>
      </c>
      <c r="J28" s="5">
        <f t="shared" si="1"/>
        <v>4.6470647280351843E-5</v>
      </c>
    </row>
    <row r="29" spans="2:10" x14ac:dyDescent="0.25">
      <c r="B29" s="2" t="s">
        <v>87</v>
      </c>
      <c r="C29" s="2" t="s">
        <v>15</v>
      </c>
      <c r="D29" s="3">
        <v>3481.33</v>
      </c>
      <c r="F29" s="5" t="str">
        <f t="shared" si="0"/>
        <v>LOW</v>
      </c>
      <c r="H29" s="5" t="str" cm="1">
        <f t="array" ref="H29">_xlfn.IFS(D29&gt;10000,"HIGH",D29&gt;5000,"MEDIUM",D29&gt;500,"LOW",TRUE,"NEGLIGIBLE")</f>
        <v>LOW</v>
      </c>
      <c r="J29" s="5">
        <f t="shared" si="1"/>
        <v>2.8724654083353199E-4</v>
      </c>
    </row>
    <row r="30" spans="2:10" x14ac:dyDescent="0.25">
      <c r="B30" s="5" t="s">
        <v>47</v>
      </c>
      <c r="C30" s="5" t="s">
        <v>37</v>
      </c>
      <c r="D30" s="6">
        <v>2539.2800000000002</v>
      </c>
      <c r="F30" s="5" t="str">
        <f t="shared" si="0"/>
        <v>LOW</v>
      </c>
      <c r="H30" s="5" t="str" cm="1">
        <f t="array" ref="H30">_xlfn.IFS(D30&gt;10000,"HIGH",D30&gt;5000,"MEDIUM",D30&gt;500,"LOW",TRUE,"NEGLIGIBLE")</f>
        <v>LOW</v>
      </c>
      <c r="J30" s="5">
        <f t="shared" si="1"/>
        <v>3.93812419268454E-4</v>
      </c>
    </row>
    <row r="31" spans="2:10" x14ac:dyDescent="0.25">
      <c r="B31" s="2" t="s">
        <v>90</v>
      </c>
      <c r="C31" s="2" t="s">
        <v>37</v>
      </c>
      <c r="D31" s="3">
        <v>16899.439999999999</v>
      </c>
      <c r="F31" s="5" t="str">
        <f t="shared" si="0"/>
        <v>HIGH</v>
      </c>
      <c r="H31" s="5" t="str" cm="1">
        <f t="array" ref="H31">_xlfn.IFS(D31&gt;10000,"HIGH",D31&gt;5000,"MEDIUM",D31&gt;500,"LOW",TRUE,"NEGLIGIBLE")</f>
        <v>HIGH</v>
      </c>
      <c r="J31" s="5">
        <f t="shared" si="1"/>
        <v>5.9173558413769927E-5</v>
      </c>
    </row>
    <row r="32" spans="2:10" x14ac:dyDescent="0.25">
      <c r="B32" s="5" t="s">
        <v>61</v>
      </c>
      <c r="C32" s="5" t="s">
        <v>37</v>
      </c>
      <c r="D32" s="6">
        <v>4951.43</v>
      </c>
      <c r="F32" s="5" t="str">
        <f t="shared" si="0"/>
        <v>LOW</v>
      </c>
      <c r="H32" s="5" t="str" cm="1">
        <f t="array" ref="H32">_xlfn.IFS(D32&gt;10000,"HIGH",D32&gt;5000,"MEDIUM",D32&gt;500,"LOW",TRUE,"NEGLIGIBLE")</f>
        <v>LOW</v>
      </c>
      <c r="J32" s="5">
        <f t="shared" si="1"/>
        <v>2.0196185748359564E-4</v>
      </c>
    </row>
    <row r="33" spans="2:10" x14ac:dyDescent="0.25">
      <c r="B33" s="2" t="s">
        <v>42</v>
      </c>
      <c r="C33" s="2" t="s">
        <v>43</v>
      </c>
      <c r="D33" s="3">
        <v>6395.2</v>
      </c>
      <c r="F33" s="5" t="str">
        <f t="shared" si="0"/>
        <v>MEDIUM</v>
      </c>
      <c r="H33" s="5" t="str" cm="1">
        <f t="array" ref="H33">_xlfn.IFS(D33&gt;10000,"HIGH",D33&gt;5000,"MEDIUM",D33&gt;500,"LOW",TRUE,"NEGLIGIBLE")</f>
        <v>MEDIUM</v>
      </c>
      <c r="J33" s="5">
        <f t="shared" si="1"/>
        <v>1.5636727545659246E-4</v>
      </c>
    </row>
    <row r="34" spans="2:10" x14ac:dyDescent="0.25">
      <c r="B34" s="5" t="s">
        <v>26</v>
      </c>
      <c r="C34" s="5" t="s">
        <v>37</v>
      </c>
      <c r="D34" s="6">
        <v>24231.11</v>
      </c>
      <c r="F34" s="5" t="str">
        <f t="shared" si="0"/>
        <v>HIGH</v>
      </c>
      <c r="H34" s="5" t="str" cm="1">
        <f t="array" ref="H34">_xlfn.IFS(D34&gt;10000,"HIGH",D34&gt;5000,"MEDIUM",D34&gt;500,"LOW",TRUE,"NEGLIGIBLE")</f>
        <v>HIGH</v>
      </c>
      <c r="J34" s="5">
        <f t="shared" si="1"/>
        <v>4.1269260879918417E-5</v>
      </c>
    </row>
    <row r="35" spans="2:10" x14ac:dyDescent="0.25">
      <c r="B35" s="2" t="s">
        <v>95</v>
      </c>
      <c r="C35" s="2" t="s">
        <v>37</v>
      </c>
      <c r="D35" s="3">
        <v>22580.58</v>
      </c>
      <c r="F35" s="5" t="str">
        <f t="shared" si="0"/>
        <v>HIGH</v>
      </c>
      <c r="H35" s="5" t="str" cm="1">
        <f t="array" ref="H35">_xlfn.IFS(D35&gt;10000,"HIGH",D35&gt;5000,"MEDIUM",D35&gt;500,"LOW",TRUE,"NEGLIGIBLE")</f>
        <v>HIGH</v>
      </c>
      <c r="J35" s="5">
        <f t="shared" si="1"/>
        <v>4.4285842082001433E-5</v>
      </c>
    </row>
    <row r="36" spans="2:10" x14ac:dyDescent="0.25">
      <c r="B36" s="5" t="s">
        <v>61</v>
      </c>
      <c r="C36" s="5" t="s">
        <v>15</v>
      </c>
      <c r="D36" s="6">
        <v>10690.59</v>
      </c>
      <c r="F36" s="5" t="str">
        <f t="shared" si="0"/>
        <v>HIGH</v>
      </c>
      <c r="H36" s="5" t="str" cm="1">
        <f t="array" ref="H36">_xlfn.IFS(D36&gt;10000,"HIGH",D36&gt;5000,"MEDIUM",D36&gt;500,"LOW",TRUE,"NEGLIGIBLE")</f>
        <v>HIGH</v>
      </c>
      <c r="J36" s="5">
        <f t="shared" si="1"/>
        <v>9.3540206854813432E-5</v>
      </c>
    </row>
    <row r="37" spans="2:10" x14ac:dyDescent="0.25">
      <c r="B37" s="2" t="s">
        <v>98</v>
      </c>
      <c r="C37" s="2" t="s">
        <v>43</v>
      </c>
      <c r="D37" s="3">
        <v>14563.67</v>
      </c>
      <c r="F37" s="5" t="str">
        <f t="shared" si="0"/>
        <v>HIGH</v>
      </c>
      <c r="H37" s="5" t="str" cm="1">
        <f t="array" ref="H37">_xlfn.IFS(D37&gt;10000,"HIGH",D37&gt;5000,"MEDIUM",D37&gt;500,"LOW",TRUE,"NEGLIGIBLE")</f>
        <v>HIGH</v>
      </c>
      <c r="J37" s="5">
        <f t="shared" si="1"/>
        <v>6.866401120047351E-5</v>
      </c>
    </row>
    <row r="38" spans="2:10" x14ac:dyDescent="0.25">
      <c r="B38" s="5" t="s">
        <v>90</v>
      </c>
      <c r="C38" s="5" t="s">
        <v>48</v>
      </c>
      <c r="D38" s="6">
        <v>12670.69</v>
      </c>
      <c r="F38" s="5" t="str">
        <f t="shared" si="0"/>
        <v>HIGH</v>
      </c>
      <c r="H38" s="5" t="str" cm="1">
        <f t="array" ref="H38">_xlfn.IFS(D38&gt;10000,"HIGH",D38&gt;5000,"MEDIUM",D38&gt;500,"LOW",TRUE,"NEGLIGIBLE")</f>
        <v>HIGH</v>
      </c>
      <c r="J38" s="5">
        <f t="shared" si="1"/>
        <v>7.8922300206223962E-5</v>
      </c>
    </row>
    <row r="39" spans="2:10" x14ac:dyDescent="0.25">
      <c r="B39" s="2" t="s">
        <v>101</v>
      </c>
      <c r="C39" s="2" t="s">
        <v>43</v>
      </c>
      <c r="D39" s="3">
        <v>14956.87</v>
      </c>
      <c r="F39" s="5" t="str">
        <f t="shared" si="0"/>
        <v>HIGH</v>
      </c>
      <c r="H39" s="5" t="str" cm="1">
        <f t="array" ref="H39">_xlfn.IFS(D39&gt;10000,"HIGH",D39&gt;5000,"MEDIUM",D39&gt;500,"LOW",TRUE,"NEGLIGIBLE")</f>
        <v>HIGH</v>
      </c>
      <c r="J39" s="5">
        <f t="shared" si="1"/>
        <v>6.6858908314373263E-5</v>
      </c>
    </row>
    <row r="40" spans="2:10" x14ac:dyDescent="0.25">
      <c r="B40" s="5" t="s">
        <v>63</v>
      </c>
      <c r="C40" s="5" t="s">
        <v>48</v>
      </c>
      <c r="D40" s="6">
        <v>1185.5899999999999</v>
      </c>
      <c r="F40" s="5" t="str">
        <f t="shared" si="0"/>
        <v>LOW</v>
      </c>
      <c r="H40" s="5" t="str" cm="1">
        <f t="array" ref="H40">_xlfn.IFS(D40&gt;10000,"HIGH",D40&gt;5000,"MEDIUM",D40&gt;500,"LOW",TRUE,"NEGLIGIBLE")</f>
        <v>LOW</v>
      </c>
      <c r="J40" s="5">
        <f t="shared" si="1"/>
        <v>8.4346190504305883E-4</v>
      </c>
    </row>
    <row r="41" spans="2:10" x14ac:dyDescent="0.25">
      <c r="B41" s="2" t="s">
        <v>71</v>
      </c>
      <c r="C41" s="2" t="s">
        <v>37</v>
      </c>
      <c r="D41" s="3">
        <v>0</v>
      </c>
      <c r="F41" s="5" t="str">
        <f t="shared" si="0"/>
        <v>Negligible</v>
      </c>
      <c r="H41" s="5" t="str" cm="1">
        <f t="array" ref="H41">_xlfn.IFS(D41&gt;10000,"HIGH",D41&gt;5000,"MEDIUM",D41&gt;500,"LOW",TRUE,"NEGLIGIBLE")</f>
        <v>NEGLIGIBLE</v>
      </c>
      <c r="J41" s="5" t="str">
        <f t="shared" si="1"/>
        <v>can not devide by zero</v>
      </c>
    </row>
    <row r="42" spans="2:10" x14ac:dyDescent="0.25">
      <c r="B42" s="5" t="s">
        <v>69</v>
      </c>
      <c r="C42" s="5" t="s">
        <v>48</v>
      </c>
      <c r="D42" s="6">
        <v>8041.19</v>
      </c>
      <c r="F42" s="5" t="str">
        <f t="shared" si="0"/>
        <v>MEDIUM</v>
      </c>
      <c r="H42" s="5" t="str" cm="1">
        <f t="array" ref="H42">_xlfn.IFS(D42&gt;10000,"HIGH",D42&gt;5000,"MEDIUM",D42&gt;500,"LOW",TRUE,"NEGLIGIBLE")</f>
        <v>MEDIUM</v>
      </c>
      <c r="J42" s="5">
        <f t="shared" si="1"/>
        <v>1.243597029792854E-4</v>
      </c>
    </row>
    <row r="43" spans="2:10" x14ac:dyDescent="0.25">
      <c r="B43" s="2" t="s">
        <v>47</v>
      </c>
      <c r="C43" s="2" t="s">
        <v>43</v>
      </c>
      <c r="D43" s="3">
        <v>5486.23</v>
      </c>
      <c r="F43" s="5" t="str">
        <f t="shared" si="0"/>
        <v>MEDIUM</v>
      </c>
      <c r="H43" s="5" t="str" cm="1">
        <f t="array" ref="H43">_xlfn.IFS(D43&gt;10000,"HIGH",D43&gt;5000,"MEDIUM",D43&gt;500,"LOW",TRUE,"NEGLIGIBLE")</f>
        <v>MEDIUM</v>
      </c>
      <c r="J43" s="5">
        <f t="shared" si="1"/>
        <v>1.8227453096206323E-4</v>
      </c>
    </row>
    <row r="44" spans="2:10" x14ac:dyDescent="0.25">
      <c r="B44" s="5" t="s">
        <v>107</v>
      </c>
      <c r="C44" s="5" t="s">
        <v>48</v>
      </c>
      <c r="D44" s="6">
        <v>4112.12</v>
      </c>
      <c r="F44" s="5" t="str">
        <f t="shared" si="0"/>
        <v>LOW</v>
      </c>
      <c r="H44" s="5" t="str" cm="1">
        <f t="array" ref="H44">_xlfn.IFS(D44&gt;10000,"HIGH",D44&gt;5000,"MEDIUM",D44&gt;500,"LOW",TRUE,"NEGLIGIBLE")</f>
        <v>LOW</v>
      </c>
      <c r="J44" s="5">
        <f t="shared" si="1"/>
        <v>2.4318356468196455E-4</v>
      </c>
    </row>
    <row r="45" spans="2:10" x14ac:dyDescent="0.25">
      <c r="B45" s="2" t="s">
        <v>71</v>
      </c>
      <c r="C45" s="2" t="s">
        <v>43</v>
      </c>
      <c r="D45" s="3">
        <v>23307.55</v>
      </c>
      <c r="F45" s="5" t="str">
        <f t="shared" si="0"/>
        <v>HIGH</v>
      </c>
      <c r="H45" s="5" t="str" cm="1">
        <f t="array" ref="H45">_xlfn.IFS(D45&gt;10000,"HIGH",D45&gt;5000,"MEDIUM",D45&gt;500,"LOW",TRUE,"NEGLIGIBLE")</f>
        <v>HIGH</v>
      </c>
      <c r="J45" s="5">
        <f t="shared" si="1"/>
        <v>4.2904552387531083E-5</v>
      </c>
    </row>
    <row r="46" spans="2:10" x14ac:dyDescent="0.25">
      <c r="B46" s="5" t="s">
        <v>98</v>
      </c>
      <c r="C46" s="5" t="s">
        <v>15</v>
      </c>
      <c r="D46" s="6">
        <v>6954.24</v>
      </c>
      <c r="F46" s="5" t="str">
        <f t="shared" si="0"/>
        <v>MEDIUM</v>
      </c>
      <c r="H46" s="5" t="str" cm="1">
        <f t="array" ref="H46">_xlfn.IFS(D46&gt;10000,"HIGH",D46&gt;5000,"MEDIUM",D46&gt;500,"LOW",TRUE,"NEGLIGIBLE")</f>
        <v>MEDIUM</v>
      </c>
      <c r="J46" s="5">
        <f t="shared" si="1"/>
        <v>1.4379716547027426E-4</v>
      </c>
    </row>
    <row r="47" spans="2:10" x14ac:dyDescent="0.25">
      <c r="B47" s="2" t="s">
        <v>26</v>
      </c>
      <c r="C47" s="2" t="s">
        <v>31</v>
      </c>
      <c r="D47" s="3">
        <v>6427.81</v>
      </c>
      <c r="F47" s="5" t="str">
        <f t="shared" si="0"/>
        <v>MEDIUM</v>
      </c>
      <c r="H47" s="5" t="str" cm="1">
        <f t="array" ref="H47">_xlfn.IFS(D47&gt;10000,"HIGH",D47&gt;5000,"MEDIUM",D47&gt;500,"LOW",TRUE,"NEGLIGIBLE")</f>
        <v>MEDIUM</v>
      </c>
      <c r="J47" s="5">
        <f t="shared" si="1"/>
        <v>1.5557398242947441E-4</v>
      </c>
    </row>
    <row r="48" spans="2:10" x14ac:dyDescent="0.25">
      <c r="B48" s="5" t="s">
        <v>77</v>
      </c>
      <c r="C48" s="5" t="s">
        <v>37</v>
      </c>
      <c r="D48" s="6">
        <v>19323.759999999998</v>
      </c>
      <c r="F48" s="5" t="str">
        <f t="shared" si="0"/>
        <v>HIGH</v>
      </c>
      <c r="H48" s="5" t="str" cm="1">
        <f t="array" ref="H48">_xlfn.IFS(D48&gt;10000,"HIGH",D48&gt;5000,"MEDIUM",D48&gt;500,"LOW",TRUE,"NEGLIGIBLE")</f>
        <v>HIGH</v>
      </c>
      <c r="J48" s="5">
        <f t="shared" si="1"/>
        <v>5.1749762986085528E-5</v>
      </c>
    </row>
    <row r="49" spans="2:10" x14ac:dyDescent="0.25">
      <c r="B49" s="2" t="s">
        <v>42</v>
      </c>
      <c r="C49" s="2" t="s">
        <v>43</v>
      </c>
      <c r="D49" s="3">
        <v>2974.47</v>
      </c>
      <c r="F49" s="5" t="str">
        <f t="shared" si="0"/>
        <v>LOW</v>
      </c>
      <c r="H49" s="5" t="str" cm="1">
        <f t="array" ref="H49">_xlfn.IFS(D49&gt;10000,"HIGH",D49&gt;5000,"MEDIUM",D49&gt;500,"LOW",TRUE,"NEGLIGIBLE")</f>
        <v>LOW</v>
      </c>
      <c r="J49" s="5">
        <f t="shared" si="1"/>
        <v>3.3619434722824572E-4</v>
      </c>
    </row>
    <row r="50" spans="2:10" x14ac:dyDescent="0.25">
      <c r="B50" s="5" t="s">
        <v>79</v>
      </c>
      <c r="C50" s="5" t="s">
        <v>31</v>
      </c>
      <c r="D50" s="6">
        <v>3872.73</v>
      </c>
      <c r="F50" s="5" t="str">
        <f t="shared" si="0"/>
        <v>LOW</v>
      </c>
      <c r="H50" s="5" t="str" cm="1">
        <f t="array" ref="H50">_xlfn.IFS(D50&gt;10000,"HIGH",D50&gt;5000,"MEDIUM",D50&gt;500,"LOW",TRUE,"NEGLIGIBLE")</f>
        <v>LOW</v>
      </c>
      <c r="J50" s="5">
        <f t="shared" si="1"/>
        <v>2.5821578059921554E-4</v>
      </c>
    </row>
    <row r="51" spans="2:10" x14ac:dyDescent="0.25">
      <c r="B51" s="2" t="s">
        <v>47</v>
      </c>
      <c r="C51" s="2" t="s">
        <v>48</v>
      </c>
      <c r="D51" s="3">
        <v>17115.25</v>
      </c>
      <c r="F51" s="5" t="str">
        <f t="shared" si="0"/>
        <v>HIGH</v>
      </c>
      <c r="H51" s="5" t="str" cm="1">
        <f t="array" ref="H51">_xlfn.IFS(D51&gt;10000,"HIGH",D51&gt;5000,"MEDIUM",D51&gt;500,"LOW",TRUE,"NEGLIGIBLE")</f>
        <v>HIGH</v>
      </c>
      <c r="J51" s="5">
        <f t="shared" si="1"/>
        <v>5.8427425833686335E-5</v>
      </c>
    </row>
    <row r="52" spans="2:10" x14ac:dyDescent="0.25">
      <c r="B52" s="5" t="s">
        <v>77</v>
      </c>
      <c r="C52" s="5" t="s">
        <v>37</v>
      </c>
      <c r="D52" s="6">
        <v>23158.94</v>
      </c>
      <c r="F52" s="5" t="str">
        <f t="shared" si="0"/>
        <v>HIGH</v>
      </c>
      <c r="H52" s="5" t="str" cm="1">
        <f t="array" ref="H52">_xlfn.IFS(D52&gt;10000,"HIGH",D52&gt;5000,"MEDIUM",D52&gt;500,"LOW",TRUE,"NEGLIGIBLE")</f>
        <v>HIGH</v>
      </c>
      <c r="J52" s="5">
        <f t="shared" si="1"/>
        <v>4.3179869199540225E-5</v>
      </c>
    </row>
    <row r="53" spans="2:10" x14ac:dyDescent="0.25">
      <c r="B53" s="2" t="s">
        <v>71</v>
      </c>
      <c r="C53" s="2" t="s">
        <v>15</v>
      </c>
      <c r="D53" s="3">
        <v>19603.189999999999</v>
      </c>
      <c r="F53" s="5" t="str">
        <f t="shared" si="0"/>
        <v>HIGH</v>
      </c>
      <c r="H53" s="5" t="str" cm="1">
        <f t="array" ref="H53">_xlfn.IFS(D53&gt;10000,"HIGH",D53&gt;5000,"MEDIUM",D53&gt;500,"LOW",TRUE,"NEGLIGIBLE")</f>
        <v>HIGH</v>
      </c>
      <c r="J53" s="5">
        <f t="shared" si="1"/>
        <v>5.1012105682799587E-5</v>
      </c>
    </row>
    <row r="54" spans="2:10" x14ac:dyDescent="0.25">
      <c r="B54" s="5" t="s">
        <v>69</v>
      </c>
      <c r="C54" s="5" t="s">
        <v>31</v>
      </c>
      <c r="D54" s="6">
        <v>21493.11</v>
      </c>
      <c r="F54" s="5" t="str">
        <f t="shared" si="0"/>
        <v>HIGH</v>
      </c>
      <c r="H54" s="5" t="str" cm="1">
        <f t="array" ref="H54">_xlfn.IFS(D54&gt;10000,"HIGH",D54&gt;5000,"MEDIUM",D54&gt;500,"LOW",TRUE,"NEGLIGIBLE")</f>
        <v>HIGH</v>
      </c>
      <c r="J54" s="5">
        <f t="shared" si="1"/>
        <v>4.6526538039399602E-5</v>
      </c>
    </row>
    <row r="55" spans="2:10" x14ac:dyDescent="0.25">
      <c r="B55" s="2" t="s">
        <v>98</v>
      </c>
      <c r="C55" s="2" t="s">
        <v>31</v>
      </c>
      <c r="D55" s="3">
        <v>786.88</v>
      </c>
      <c r="F55" s="5" t="str">
        <f t="shared" si="0"/>
        <v>LOW</v>
      </c>
      <c r="H55" s="5" t="str" cm="1">
        <f t="array" ref="H55">_xlfn.IFS(D55&gt;10000,"HIGH",D55&gt;5000,"MEDIUM",D55&gt;500,"LOW",TRUE,"NEGLIGIBLE")</f>
        <v>LOW</v>
      </c>
      <c r="J55" s="5">
        <f t="shared" si="1"/>
        <v>1.2708418056120374E-3</v>
      </c>
    </row>
    <row r="56" spans="2:10" x14ac:dyDescent="0.25">
      <c r="B56" s="5" t="s">
        <v>98</v>
      </c>
      <c r="C56" s="5" t="s">
        <v>43</v>
      </c>
      <c r="D56" s="6">
        <v>16108.75</v>
      </c>
      <c r="F56" s="5" t="str">
        <f t="shared" si="0"/>
        <v>HIGH</v>
      </c>
      <c r="H56" s="5" t="str" cm="1">
        <f t="array" ref="H56">_xlfn.IFS(D56&gt;10000,"HIGH",D56&gt;5000,"MEDIUM",D56&gt;500,"LOW",TRUE,"NEGLIGIBLE")</f>
        <v>HIGH</v>
      </c>
      <c r="J56" s="5">
        <f t="shared" si="1"/>
        <v>6.2078063164429265E-5</v>
      </c>
    </row>
    <row r="57" spans="2:10" x14ac:dyDescent="0.25">
      <c r="B57" s="2" t="s">
        <v>67</v>
      </c>
      <c r="C57" s="2" t="s">
        <v>48</v>
      </c>
      <c r="D57" s="3">
        <v>14598.63</v>
      </c>
      <c r="F57" s="5" t="str">
        <f t="shared" si="0"/>
        <v>HIGH</v>
      </c>
      <c r="H57" s="5" t="str" cm="1">
        <f t="array" ref="H57">_xlfn.IFS(D57&gt;10000,"HIGH",D57&gt;5000,"MEDIUM",D57&gt;500,"LOW",TRUE,"NEGLIGIBLE")</f>
        <v>HIGH</v>
      </c>
      <c r="J57" s="5">
        <f t="shared" si="1"/>
        <v>6.8499578385095049E-5</v>
      </c>
    </row>
    <row r="58" spans="2:10" x14ac:dyDescent="0.25">
      <c r="B58" s="5" t="s">
        <v>101</v>
      </c>
      <c r="C58" s="5" t="s">
        <v>48</v>
      </c>
      <c r="D58" s="6">
        <v>11022.57</v>
      </c>
      <c r="F58" s="5" t="str">
        <f t="shared" si="0"/>
        <v>HIGH</v>
      </c>
      <c r="H58" s="5" t="str" cm="1">
        <f t="array" ref="H58">_xlfn.IFS(D58&gt;10000,"HIGH",D58&gt;5000,"MEDIUM",D58&gt;500,"LOW",TRUE,"NEGLIGIBLE")</f>
        <v>HIGH</v>
      </c>
      <c r="J58" s="5">
        <f t="shared" si="1"/>
        <v>9.0722943923241128E-5</v>
      </c>
    </row>
    <row r="59" spans="2:10" x14ac:dyDescent="0.25">
      <c r="B59" s="2" t="s">
        <v>42</v>
      </c>
      <c r="C59" s="2" t="s">
        <v>15</v>
      </c>
      <c r="D59" s="3">
        <v>17777.88</v>
      </c>
      <c r="F59" s="5" t="str">
        <f t="shared" si="0"/>
        <v>HIGH</v>
      </c>
      <c r="H59" s="5" t="str" cm="1">
        <f t="array" ref="H59">_xlfn.IFS(D59&gt;10000,"HIGH",D59&gt;5000,"MEDIUM",D59&gt;500,"LOW",TRUE,"NEGLIGIBLE")</f>
        <v>HIGH</v>
      </c>
      <c r="J59" s="5">
        <f t="shared" si="1"/>
        <v>5.6249676564359749E-5</v>
      </c>
    </row>
    <row r="60" spans="2:10" x14ac:dyDescent="0.25">
      <c r="B60" s="5" t="s">
        <v>98</v>
      </c>
      <c r="C60" s="5" t="s">
        <v>43</v>
      </c>
      <c r="D60" s="6">
        <v>23732.09</v>
      </c>
      <c r="F60" s="5" t="str">
        <f t="shared" si="0"/>
        <v>HIGH</v>
      </c>
      <c r="H60" s="5" t="str" cm="1">
        <f t="array" ref="H60">_xlfn.IFS(D60&gt;10000,"HIGH",D60&gt;5000,"MEDIUM",D60&gt;500,"LOW",TRUE,"NEGLIGIBLE")</f>
        <v>HIGH</v>
      </c>
      <c r="J60" s="5">
        <f t="shared" si="1"/>
        <v>4.2137038920718739E-5</v>
      </c>
    </row>
    <row r="61" spans="2:10" x14ac:dyDescent="0.25">
      <c r="B61" s="2" t="s">
        <v>79</v>
      </c>
      <c r="C61" s="2" t="s">
        <v>48</v>
      </c>
      <c r="D61" s="3">
        <v>0</v>
      </c>
      <c r="F61" s="5" t="str">
        <f t="shared" si="0"/>
        <v>Negligible</v>
      </c>
      <c r="H61" s="5" t="str" cm="1">
        <f t="array" ref="H61">_xlfn.IFS(D61&gt;10000,"HIGH",D61&gt;5000,"MEDIUM",D61&gt;500,"LOW",TRUE,"NEGLIGIBLE")</f>
        <v>NEGLIGIBLE</v>
      </c>
      <c r="J61" s="5" t="str">
        <f t="shared" si="1"/>
        <v>can not devide by zero</v>
      </c>
    </row>
    <row r="62" spans="2:10" x14ac:dyDescent="0.25">
      <c r="B62" s="5" t="s">
        <v>107</v>
      </c>
      <c r="C62" s="5" t="s">
        <v>48</v>
      </c>
      <c r="D62" s="6">
        <v>16690.25</v>
      </c>
      <c r="F62" s="5" t="str">
        <f t="shared" si="0"/>
        <v>HIGH</v>
      </c>
      <c r="H62" s="5" t="str" cm="1">
        <f t="array" ref="H62">_xlfn.IFS(D62&gt;10000,"HIGH",D62&gt;5000,"MEDIUM",D62&gt;500,"LOW",TRUE,"NEGLIGIBLE")</f>
        <v>HIGH</v>
      </c>
      <c r="J62" s="5">
        <f t="shared" si="1"/>
        <v>5.9915219963751293E-5</v>
      </c>
    </row>
    <row r="63" spans="2:10" x14ac:dyDescent="0.25">
      <c r="B63" s="2" t="s">
        <v>127</v>
      </c>
      <c r="C63" s="2" t="s">
        <v>37</v>
      </c>
      <c r="D63" s="3">
        <v>20876.38</v>
      </c>
      <c r="F63" s="5" t="str">
        <f t="shared" si="0"/>
        <v>HIGH</v>
      </c>
      <c r="H63" s="5" t="str" cm="1">
        <f t="array" ref="H63">_xlfn.IFS(D63&gt;10000,"HIGH",D63&gt;5000,"MEDIUM",D63&gt;500,"LOW",TRUE,"NEGLIGIBLE")</f>
        <v>HIGH</v>
      </c>
      <c r="J63" s="5">
        <f t="shared" si="1"/>
        <v>4.790102498613265E-5</v>
      </c>
    </row>
    <row r="64" spans="2:10" x14ac:dyDescent="0.25">
      <c r="B64" s="5" t="s">
        <v>87</v>
      </c>
      <c r="C64" s="5" t="s">
        <v>15</v>
      </c>
      <c r="D64" s="6">
        <v>11165.56</v>
      </c>
      <c r="F64" s="5" t="str">
        <f t="shared" si="0"/>
        <v>HIGH</v>
      </c>
      <c r="H64" s="5" t="str" cm="1">
        <f t="array" ref="H64">_xlfn.IFS(D64&gt;10000,"HIGH",D64&gt;5000,"MEDIUM",D64&gt;500,"LOW",TRUE,"NEGLIGIBLE")</f>
        <v>HIGH</v>
      </c>
      <c r="J64" s="5">
        <f t="shared" si="1"/>
        <v>8.956111471345818E-5</v>
      </c>
    </row>
    <row r="65" spans="2:10" x14ac:dyDescent="0.25">
      <c r="B65" s="2" t="s">
        <v>20</v>
      </c>
      <c r="C65" s="2" t="s">
        <v>15</v>
      </c>
      <c r="D65" s="3">
        <v>16663.580000000002</v>
      </c>
      <c r="F65" s="5" t="str">
        <f t="shared" si="0"/>
        <v>HIGH</v>
      </c>
      <c r="H65" s="5" t="str" cm="1">
        <f t="array" ref="H65">_xlfn.IFS(D65&gt;10000,"HIGH",D65&gt;5000,"MEDIUM",D65&gt;500,"LOW",TRUE,"NEGLIGIBLE")</f>
        <v>HIGH</v>
      </c>
      <c r="J65" s="5">
        <f t="shared" si="1"/>
        <v>6.0011114058323596E-5</v>
      </c>
    </row>
    <row r="66" spans="2:10" x14ac:dyDescent="0.25">
      <c r="B66" s="5" t="s">
        <v>87</v>
      </c>
      <c r="C66" s="5" t="s">
        <v>48</v>
      </c>
      <c r="D66" s="6">
        <v>3854.38</v>
      </c>
      <c r="F66" s="5" t="str">
        <f t="shared" si="0"/>
        <v>LOW</v>
      </c>
      <c r="H66" s="5" t="str" cm="1">
        <f t="array" ref="H66">_xlfn.IFS(D66&gt;10000,"HIGH",D66&gt;5000,"MEDIUM",D66&gt;500,"LOW",TRUE,"NEGLIGIBLE")</f>
        <v>LOW</v>
      </c>
      <c r="J66" s="5">
        <f t="shared" si="1"/>
        <v>2.5944509882263814E-4</v>
      </c>
    </row>
    <row r="67" spans="2:10" x14ac:dyDescent="0.25">
      <c r="B67" s="2" t="s">
        <v>101</v>
      </c>
      <c r="C67" s="2" t="s">
        <v>37</v>
      </c>
      <c r="D67" s="3">
        <v>22176.2</v>
      </c>
      <c r="F67" s="5" t="str">
        <f t="shared" si="0"/>
        <v>HIGH</v>
      </c>
      <c r="H67" s="5" t="str" cm="1">
        <f t="array" ref="H67">_xlfn.IFS(D67&gt;10000,"HIGH",D67&gt;5000,"MEDIUM",D67&gt;500,"LOW",TRUE,"NEGLIGIBLE")</f>
        <v>HIGH</v>
      </c>
      <c r="J67" s="5">
        <f t="shared" si="1"/>
        <v>4.5093388407391709E-5</v>
      </c>
    </row>
    <row r="68" spans="2:10" x14ac:dyDescent="0.25">
      <c r="B68" s="5" t="s">
        <v>26</v>
      </c>
      <c r="C68" s="5" t="s">
        <v>15</v>
      </c>
      <c r="D68" s="6">
        <v>16470.240000000002</v>
      </c>
      <c r="F68" s="5" t="str">
        <f t="shared" ref="F68:F122" si="2">IF(D68&lt;500,"Negligible",IF(D68&lt;5000,"LOW",IF(D68&lt;10000,"MEDIUM","HIGH")))</f>
        <v>HIGH</v>
      </c>
      <c r="H68" s="5" t="str" cm="1">
        <f t="array" ref="H68">_xlfn.IFS(D68&gt;10000,"HIGH",D68&gt;5000,"MEDIUM",D68&gt;500,"LOW",TRUE,"NEGLIGIBLE")</f>
        <v>HIGH</v>
      </c>
      <c r="J68" s="5">
        <f t="shared" ref="J68:J122" si="3">IFERROR(1/D68,"can not devide by zero")</f>
        <v>6.0715569414896193E-5</v>
      </c>
    </row>
    <row r="69" spans="2:10" x14ac:dyDescent="0.25">
      <c r="B69" s="2" t="s">
        <v>69</v>
      </c>
      <c r="C69" s="2" t="s">
        <v>15</v>
      </c>
      <c r="D69" s="3">
        <v>1445.42</v>
      </c>
      <c r="F69" s="5" t="str">
        <f t="shared" si="2"/>
        <v>LOW</v>
      </c>
      <c r="H69" s="5" t="str" cm="1">
        <f t="array" ref="H69">_xlfn.IFS(D69&gt;10000,"HIGH",D69&gt;5000,"MEDIUM",D69&gt;500,"LOW",TRUE,"NEGLIGIBLE")</f>
        <v>LOW</v>
      </c>
      <c r="J69" s="5">
        <f t="shared" si="3"/>
        <v>6.9184043392232016E-4</v>
      </c>
    </row>
    <row r="70" spans="2:10" x14ac:dyDescent="0.25">
      <c r="B70" s="5" t="s">
        <v>75</v>
      </c>
      <c r="C70" s="5" t="s">
        <v>37</v>
      </c>
      <c r="D70" s="6">
        <v>14967.22</v>
      </c>
      <c r="F70" s="5" t="str">
        <f t="shared" si="2"/>
        <v>HIGH</v>
      </c>
      <c r="H70" s="5" t="str" cm="1">
        <f t="array" ref="H70">_xlfn.IFS(D70&gt;10000,"HIGH",D70&gt;5000,"MEDIUM",D70&gt;500,"LOW",TRUE,"NEGLIGIBLE")</f>
        <v>HIGH</v>
      </c>
      <c r="J70" s="5">
        <f t="shared" si="3"/>
        <v>6.6812674631628322E-5</v>
      </c>
    </row>
    <row r="71" spans="2:10" x14ac:dyDescent="0.25">
      <c r="B71" s="2" t="s">
        <v>75</v>
      </c>
      <c r="C71" s="2" t="s">
        <v>37</v>
      </c>
      <c r="D71" s="3">
        <v>11361.73</v>
      </c>
      <c r="F71" s="5" t="str">
        <f t="shared" si="2"/>
        <v>HIGH</v>
      </c>
      <c r="H71" s="5" t="str" cm="1">
        <f t="array" ref="H71">_xlfn.IFS(D71&gt;10000,"HIGH",D71&gt;5000,"MEDIUM",D71&gt;500,"LOW",TRUE,"NEGLIGIBLE")</f>
        <v>HIGH</v>
      </c>
      <c r="J71" s="5">
        <f t="shared" si="3"/>
        <v>8.8014765357036294E-5</v>
      </c>
    </row>
    <row r="72" spans="2:10" x14ac:dyDescent="0.25">
      <c r="B72" s="5" t="s">
        <v>71</v>
      </c>
      <c r="C72" s="5" t="s">
        <v>31</v>
      </c>
      <c r="D72" s="6">
        <v>2121.59</v>
      </c>
      <c r="F72" s="5" t="str">
        <f t="shared" si="2"/>
        <v>LOW</v>
      </c>
      <c r="H72" s="5" t="str" cm="1">
        <f t="array" ref="H72">_xlfn.IFS(D72&gt;10000,"HIGH",D72&gt;5000,"MEDIUM",D72&gt;500,"LOW",TRUE,"NEGLIGIBLE")</f>
        <v>LOW</v>
      </c>
      <c r="J72" s="5">
        <f t="shared" si="3"/>
        <v>4.7134460475398165E-4</v>
      </c>
    </row>
    <row r="73" spans="2:10" x14ac:dyDescent="0.25">
      <c r="B73" s="2" t="s">
        <v>61</v>
      </c>
      <c r="C73" s="2" t="s">
        <v>15</v>
      </c>
      <c r="D73" s="3">
        <v>3631.68</v>
      </c>
      <c r="F73" s="5" t="str">
        <f t="shared" si="2"/>
        <v>LOW</v>
      </c>
      <c r="H73" s="5" t="str" cm="1">
        <f t="array" ref="H73">_xlfn.IFS(D73&gt;10000,"HIGH",D73&gt;5000,"MEDIUM",D73&gt;500,"LOW",TRUE,"NEGLIGIBLE")</f>
        <v>LOW</v>
      </c>
      <c r="J73" s="5">
        <f t="shared" si="3"/>
        <v>2.7535465679795576E-4</v>
      </c>
    </row>
    <row r="74" spans="2:10" x14ac:dyDescent="0.25">
      <c r="B74" s="5" t="s">
        <v>90</v>
      </c>
      <c r="C74" s="5" t="s">
        <v>15</v>
      </c>
      <c r="D74" s="6">
        <v>8405.86</v>
      </c>
      <c r="F74" s="5" t="str">
        <f t="shared" si="2"/>
        <v>MEDIUM</v>
      </c>
      <c r="H74" s="5" t="str" cm="1">
        <f t="array" ref="H74">_xlfn.IFS(D74&gt;10000,"HIGH",D74&gt;5000,"MEDIUM",D74&gt;500,"LOW",TRUE,"NEGLIGIBLE")</f>
        <v>MEDIUM</v>
      </c>
      <c r="J74" s="5">
        <f t="shared" si="3"/>
        <v>1.1896462705779063E-4</v>
      </c>
    </row>
    <row r="75" spans="2:10" x14ac:dyDescent="0.25">
      <c r="B75" s="2" t="s">
        <v>101</v>
      </c>
      <c r="C75" s="2" t="s">
        <v>37</v>
      </c>
      <c r="D75" s="3">
        <v>23662.34</v>
      </c>
      <c r="F75" s="5" t="str">
        <f t="shared" si="2"/>
        <v>HIGH</v>
      </c>
      <c r="H75" s="5" t="str" cm="1">
        <f t="array" ref="H75">_xlfn.IFS(D75&gt;10000,"HIGH",D75&gt;5000,"MEDIUM",D75&gt;500,"LOW",TRUE,"NEGLIGIBLE")</f>
        <v>HIGH</v>
      </c>
      <c r="J75" s="5">
        <f t="shared" si="3"/>
        <v>4.226124719702278E-5</v>
      </c>
    </row>
    <row r="76" spans="2:10" x14ac:dyDescent="0.25">
      <c r="B76" s="5" t="s">
        <v>42</v>
      </c>
      <c r="C76" s="5" t="s">
        <v>48</v>
      </c>
      <c r="D76" s="6">
        <v>18886.18</v>
      </c>
      <c r="F76" s="5" t="str">
        <f t="shared" si="2"/>
        <v>HIGH</v>
      </c>
      <c r="H76" s="5" t="str" cm="1">
        <f t="array" ref="H76">_xlfn.IFS(D76&gt;10000,"HIGH",D76&gt;5000,"MEDIUM",D76&gt;500,"LOW",TRUE,"NEGLIGIBLE")</f>
        <v>HIGH</v>
      </c>
      <c r="J76" s="5">
        <f t="shared" si="3"/>
        <v>5.2948769947125359E-5</v>
      </c>
    </row>
    <row r="77" spans="2:10" x14ac:dyDescent="0.25">
      <c r="B77" s="2" t="s">
        <v>101</v>
      </c>
      <c r="C77" s="2" t="s">
        <v>31</v>
      </c>
      <c r="D77" s="3">
        <v>6968.8</v>
      </c>
      <c r="F77" s="5" t="str">
        <f t="shared" si="2"/>
        <v>MEDIUM</v>
      </c>
      <c r="H77" s="5" t="str" cm="1">
        <f t="array" ref="H77">_xlfn.IFS(D77&gt;10000,"HIGH",D77&gt;5000,"MEDIUM",D77&gt;500,"LOW",TRUE,"NEGLIGIBLE")</f>
        <v>MEDIUM</v>
      </c>
      <c r="J77" s="5">
        <f t="shared" si="3"/>
        <v>1.4349672827459534E-4</v>
      </c>
    </row>
    <row r="78" spans="2:10" x14ac:dyDescent="0.25">
      <c r="B78" s="5" t="s">
        <v>95</v>
      </c>
      <c r="C78" s="5" t="s">
        <v>37</v>
      </c>
      <c r="D78" s="6">
        <v>23004.63</v>
      </c>
      <c r="F78" s="5" t="str">
        <f t="shared" si="2"/>
        <v>HIGH</v>
      </c>
      <c r="H78" s="5" t="str" cm="1">
        <f t="array" ref="H78">_xlfn.IFS(D78&gt;10000,"HIGH",D78&gt;5000,"MEDIUM",D78&gt;500,"LOW",TRUE,"NEGLIGIBLE")</f>
        <v>HIGH</v>
      </c>
      <c r="J78" s="5">
        <f t="shared" si="3"/>
        <v>4.3469510268150365E-5</v>
      </c>
    </row>
    <row r="79" spans="2:10" x14ac:dyDescent="0.25">
      <c r="B79" s="2" t="s">
        <v>90</v>
      </c>
      <c r="C79" s="2" t="s">
        <v>31</v>
      </c>
      <c r="D79" s="3">
        <v>3565.35</v>
      </c>
      <c r="F79" s="5" t="str">
        <f t="shared" si="2"/>
        <v>LOW</v>
      </c>
      <c r="H79" s="5" t="str" cm="1">
        <f t="array" ref="H79">_xlfn.IFS(D79&gt;10000,"HIGH",D79&gt;5000,"MEDIUM",D79&gt;500,"LOW",TRUE,"NEGLIGIBLE")</f>
        <v>LOW</v>
      </c>
      <c r="J79" s="5">
        <f t="shared" si="3"/>
        <v>2.8047737248797455E-4</v>
      </c>
    </row>
    <row r="80" spans="2:10" x14ac:dyDescent="0.25">
      <c r="B80" s="5" t="s">
        <v>71</v>
      </c>
      <c r="C80" s="5" t="s">
        <v>37</v>
      </c>
      <c r="D80" s="6">
        <v>11476.54</v>
      </c>
      <c r="F80" s="5" t="str">
        <f t="shared" si="2"/>
        <v>HIGH</v>
      </c>
      <c r="H80" s="5" t="str" cm="1">
        <f t="array" ref="H80">_xlfn.IFS(D80&gt;10000,"HIGH",D80&gt;5000,"MEDIUM",D80&gt;500,"LOW",TRUE,"NEGLIGIBLE")</f>
        <v>HIGH</v>
      </c>
      <c r="J80" s="5">
        <f t="shared" si="3"/>
        <v>8.7134275661479845E-5</v>
      </c>
    </row>
    <row r="81" spans="2:10" x14ac:dyDescent="0.25">
      <c r="B81" s="2" t="s">
        <v>47</v>
      </c>
      <c r="C81" s="2" t="s">
        <v>15</v>
      </c>
      <c r="D81" s="3">
        <v>0</v>
      </c>
      <c r="F81" s="5" t="str">
        <f t="shared" si="2"/>
        <v>Negligible</v>
      </c>
      <c r="H81" s="5" t="str" cm="1">
        <f t="array" ref="H81">_xlfn.IFS(D81&gt;10000,"HIGH",D81&gt;5000,"MEDIUM",D81&gt;500,"LOW",TRUE,"NEGLIGIBLE")</f>
        <v>NEGLIGIBLE</v>
      </c>
      <c r="J81" s="5" t="str">
        <f t="shared" si="3"/>
        <v>can not devide by zero</v>
      </c>
    </row>
    <row r="82" spans="2:10" x14ac:dyDescent="0.25">
      <c r="B82" s="5" t="s">
        <v>107</v>
      </c>
      <c r="C82" s="5" t="s">
        <v>15</v>
      </c>
      <c r="D82" s="6">
        <v>23750.37</v>
      </c>
      <c r="F82" s="5" t="str">
        <f t="shared" si="2"/>
        <v>HIGH</v>
      </c>
      <c r="H82" s="5" t="str" cm="1">
        <f t="array" ref="H82">_xlfn.IFS(D82&gt;10000,"HIGH",D82&gt;5000,"MEDIUM",D82&gt;500,"LOW",TRUE,"NEGLIGIBLE")</f>
        <v>HIGH</v>
      </c>
      <c r="J82" s="5">
        <f t="shared" si="3"/>
        <v>4.2104607212435005E-5</v>
      </c>
    </row>
    <row r="83" spans="2:10" x14ac:dyDescent="0.25">
      <c r="B83" s="2" t="s">
        <v>69</v>
      </c>
      <c r="C83" s="2" t="s">
        <v>31</v>
      </c>
      <c r="D83" s="3">
        <v>16802.580000000002</v>
      </c>
      <c r="F83" s="5" t="str">
        <f t="shared" si="2"/>
        <v>HIGH</v>
      </c>
      <c r="H83" s="5" t="str" cm="1">
        <f t="array" ref="H83">_xlfn.IFS(D83&gt;10000,"HIGH",D83&gt;5000,"MEDIUM",D83&gt;500,"LOW",TRUE,"NEGLIGIBLE")</f>
        <v>HIGH</v>
      </c>
      <c r="J83" s="5">
        <f t="shared" si="3"/>
        <v>5.9514669770951834E-5</v>
      </c>
    </row>
    <row r="84" spans="2:10" x14ac:dyDescent="0.25">
      <c r="B84" s="5" t="s">
        <v>79</v>
      </c>
      <c r="C84" s="5" t="s">
        <v>43</v>
      </c>
      <c r="D84" s="6">
        <v>15259.74</v>
      </c>
      <c r="F84" s="5" t="str">
        <f t="shared" si="2"/>
        <v>HIGH</v>
      </c>
      <c r="H84" s="5" t="str" cm="1">
        <f t="array" ref="H84">_xlfn.IFS(D84&gt;10000,"HIGH",D84&gt;5000,"MEDIUM",D84&gt;500,"LOW",TRUE,"NEGLIGIBLE")</f>
        <v>HIGH</v>
      </c>
      <c r="J84" s="5">
        <f t="shared" si="3"/>
        <v>6.5531916009053893E-5</v>
      </c>
    </row>
    <row r="85" spans="2:10" x14ac:dyDescent="0.25">
      <c r="B85" s="2" t="s">
        <v>127</v>
      </c>
      <c r="C85" s="2" t="s">
        <v>43</v>
      </c>
      <c r="D85" s="3">
        <v>16998.21</v>
      </c>
      <c r="F85" s="5" t="str">
        <f t="shared" si="2"/>
        <v>HIGH</v>
      </c>
      <c r="H85" s="5" t="str" cm="1">
        <f t="array" ref="H85">_xlfn.IFS(D85&gt;10000,"HIGH",D85&gt;5000,"MEDIUM",D85&gt;500,"LOW",TRUE,"NEGLIGIBLE")</f>
        <v>HIGH</v>
      </c>
      <c r="J85" s="5">
        <f t="shared" si="3"/>
        <v>5.8829723835627404E-5</v>
      </c>
    </row>
    <row r="86" spans="2:10" x14ac:dyDescent="0.25">
      <c r="B86" s="5" t="s">
        <v>63</v>
      </c>
      <c r="C86" s="5" t="s">
        <v>43</v>
      </c>
      <c r="D86" s="6">
        <v>21287.27</v>
      </c>
      <c r="F86" s="5" t="str">
        <f t="shared" si="2"/>
        <v>HIGH</v>
      </c>
      <c r="H86" s="5" t="str" cm="1">
        <f t="array" ref="H86">_xlfn.IFS(D86&gt;10000,"HIGH",D86&gt;5000,"MEDIUM",D86&gt;500,"LOW",TRUE,"NEGLIGIBLE")</f>
        <v>HIGH</v>
      </c>
      <c r="J86" s="5">
        <f t="shared" si="3"/>
        <v>4.697643239363244E-5</v>
      </c>
    </row>
    <row r="87" spans="2:10" x14ac:dyDescent="0.25">
      <c r="B87" s="2" t="s">
        <v>98</v>
      </c>
      <c r="C87" s="2" t="s">
        <v>43</v>
      </c>
      <c r="D87" s="3">
        <v>16605.73</v>
      </c>
      <c r="F87" s="5" t="str">
        <f t="shared" si="2"/>
        <v>HIGH</v>
      </c>
      <c r="H87" s="5" t="str" cm="1">
        <f t="array" ref="H87">_xlfn.IFS(D87&gt;10000,"HIGH",D87&gt;5000,"MEDIUM",D87&gt;500,"LOW",TRUE,"NEGLIGIBLE")</f>
        <v>HIGH</v>
      </c>
      <c r="J87" s="5">
        <f t="shared" si="3"/>
        <v>6.0220177011188309E-5</v>
      </c>
    </row>
    <row r="88" spans="2:10" x14ac:dyDescent="0.25">
      <c r="B88" s="5" t="s">
        <v>61</v>
      </c>
      <c r="C88" s="5" t="s">
        <v>37</v>
      </c>
      <c r="D88" s="6">
        <v>10951.38</v>
      </c>
      <c r="F88" s="5" t="str">
        <f t="shared" si="2"/>
        <v>HIGH</v>
      </c>
      <c r="H88" s="5" t="str" cm="1">
        <f t="array" ref="H88">_xlfn.IFS(D88&gt;10000,"HIGH",D88&gt;5000,"MEDIUM",D88&gt;500,"LOW",TRUE,"NEGLIGIBLE")</f>
        <v>HIGH</v>
      </c>
      <c r="J88" s="5">
        <f t="shared" si="3"/>
        <v>9.1312693012204855E-5</v>
      </c>
    </row>
    <row r="89" spans="2:10" x14ac:dyDescent="0.25">
      <c r="B89" s="2" t="s">
        <v>69</v>
      </c>
      <c r="C89" s="2" t="s">
        <v>37</v>
      </c>
      <c r="D89" s="3">
        <v>15474.63</v>
      </c>
      <c r="F89" s="5" t="str">
        <f t="shared" si="2"/>
        <v>HIGH</v>
      </c>
      <c r="H89" s="5" t="str" cm="1">
        <f t="array" ref="H89">_xlfn.IFS(D89&gt;10000,"HIGH",D89&gt;5000,"MEDIUM",D89&gt;500,"LOW",TRUE,"NEGLIGIBLE")</f>
        <v>HIGH</v>
      </c>
      <c r="J89" s="5">
        <f t="shared" si="3"/>
        <v>6.4621900491320308E-5</v>
      </c>
    </row>
    <row r="90" spans="2:10" x14ac:dyDescent="0.25">
      <c r="B90" s="5" t="s">
        <v>69</v>
      </c>
      <c r="C90" s="5" t="s">
        <v>15</v>
      </c>
      <c r="D90" s="6">
        <v>20802.13</v>
      </c>
      <c r="F90" s="5" t="str">
        <f t="shared" si="2"/>
        <v>HIGH</v>
      </c>
      <c r="H90" s="5" t="str" cm="1">
        <f t="array" ref="H90">_xlfn.IFS(D90&gt;10000,"HIGH",D90&gt;5000,"MEDIUM",D90&gt;500,"LOW",TRUE,"NEGLIGIBLE")</f>
        <v>HIGH</v>
      </c>
      <c r="J90" s="5">
        <f t="shared" si="3"/>
        <v>4.8072000319198081E-5</v>
      </c>
    </row>
    <row r="91" spans="2:10" x14ac:dyDescent="0.25">
      <c r="B91" s="2" t="s">
        <v>87</v>
      </c>
      <c r="C91" s="2" t="s">
        <v>31</v>
      </c>
      <c r="D91" s="3">
        <v>16771.07</v>
      </c>
      <c r="F91" s="5" t="str">
        <f t="shared" si="2"/>
        <v>HIGH</v>
      </c>
      <c r="H91" s="5" t="str" cm="1">
        <f t="array" ref="H91">_xlfn.IFS(D91&gt;10000,"HIGH",D91&gt;5000,"MEDIUM",D91&gt;500,"LOW",TRUE,"NEGLIGIBLE")</f>
        <v>HIGH</v>
      </c>
      <c r="J91" s="5">
        <f t="shared" si="3"/>
        <v>5.9626487755402611E-5</v>
      </c>
    </row>
    <row r="92" spans="2:10" x14ac:dyDescent="0.25">
      <c r="B92" s="5" t="s">
        <v>71</v>
      </c>
      <c r="C92" s="5" t="s">
        <v>48</v>
      </c>
      <c r="D92" s="6">
        <v>8999.66</v>
      </c>
      <c r="F92" s="5" t="str">
        <f t="shared" si="2"/>
        <v>MEDIUM</v>
      </c>
      <c r="H92" s="5" t="str" cm="1">
        <f t="array" ref="H92">_xlfn.IFS(D92&gt;10000,"HIGH",D92&gt;5000,"MEDIUM",D92&gt;500,"LOW",TRUE,"NEGLIGIBLE")</f>
        <v>MEDIUM</v>
      </c>
      <c r="J92" s="5">
        <f t="shared" si="3"/>
        <v>1.1111530880055469E-4</v>
      </c>
    </row>
    <row r="93" spans="2:10" x14ac:dyDescent="0.25">
      <c r="B93" s="2" t="s">
        <v>14</v>
      </c>
      <c r="C93" s="2" t="s">
        <v>37</v>
      </c>
      <c r="D93" s="3">
        <v>13012.36</v>
      </c>
      <c r="F93" s="5" t="str">
        <f t="shared" si="2"/>
        <v>HIGH</v>
      </c>
      <c r="H93" s="5" t="str" cm="1">
        <f t="array" ref="H93">_xlfn.IFS(D93&gt;10000,"HIGH",D93&gt;5000,"MEDIUM",D93&gt;500,"LOW",TRUE,"NEGLIGIBLE")</f>
        <v>HIGH</v>
      </c>
      <c r="J93" s="5">
        <f t="shared" si="3"/>
        <v>7.6850010297901378E-5</v>
      </c>
    </row>
    <row r="94" spans="2:10" x14ac:dyDescent="0.25">
      <c r="B94" s="5" t="s">
        <v>69</v>
      </c>
      <c r="C94" s="5" t="s">
        <v>43</v>
      </c>
      <c r="D94" s="6">
        <v>17327.11</v>
      </c>
      <c r="F94" s="5" t="str">
        <f t="shared" si="2"/>
        <v>HIGH</v>
      </c>
      <c r="H94" s="5" t="str" cm="1">
        <f t="array" ref="H94">_xlfn.IFS(D94&gt;10000,"HIGH",D94&gt;5000,"MEDIUM",D94&gt;500,"LOW",TRUE,"NEGLIGIBLE")</f>
        <v>HIGH</v>
      </c>
      <c r="J94" s="5">
        <f t="shared" si="3"/>
        <v>5.7713028889410871E-5</v>
      </c>
    </row>
    <row r="95" spans="2:10" x14ac:dyDescent="0.25">
      <c r="B95" s="2" t="s">
        <v>63</v>
      </c>
      <c r="C95" s="2" t="s">
        <v>31</v>
      </c>
      <c r="D95" s="3">
        <v>10229.15</v>
      </c>
      <c r="F95" s="5" t="str">
        <f t="shared" si="2"/>
        <v>HIGH</v>
      </c>
      <c r="H95" s="5" t="str" cm="1">
        <f t="array" ref="H95">_xlfn.IFS(D95&gt;10000,"HIGH",D95&gt;5000,"MEDIUM",D95&gt;500,"LOW",TRUE,"NEGLIGIBLE")</f>
        <v>HIGH</v>
      </c>
      <c r="J95" s="5">
        <f t="shared" si="3"/>
        <v>9.7759833417243865E-5</v>
      </c>
    </row>
    <row r="96" spans="2:10" x14ac:dyDescent="0.25">
      <c r="B96" s="5" t="s">
        <v>47</v>
      </c>
      <c r="C96" s="5" t="s">
        <v>37</v>
      </c>
      <c r="D96" s="6">
        <v>8725.18</v>
      </c>
      <c r="F96" s="5" t="str">
        <f t="shared" si="2"/>
        <v>MEDIUM</v>
      </c>
      <c r="H96" s="5" t="str" cm="1">
        <f t="array" ref="H96">_xlfn.IFS(D96&gt;10000,"HIGH",D96&gt;5000,"MEDIUM",D96&gt;500,"LOW",TRUE,"NEGLIGIBLE")</f>
        <v>MEDIUM</v>
      </c>
      <c r="J96" s="5">
        <f t="shared" si="3"/>
        <v>1.1461081605193245E-4</v>
      </c>
    </row>
    <row r="97" spans="2:10" x14ac:dyDescent="0.25">
      <c r="B97" s="2" t="s">
        <v>67</v>
      </c>
      <c r="C97" s="2" t="s">
        <v>48</v>
      </c>
      <c r="D97" s="3">
        <v>5917.34</v>
      </c>
      <c r="F97" s="5" t="str">
        <f t="shared" si="2"/>
        <v>MEDIUM</v>
      </c>
      <c r="H97" s="5" t="str" cm="1">
        <f t="array" ref="H97">_xlfn.IFS(D97&gt;10000,"HIGH",D97&gt;5000,"MEDIUM",D97&gt;500,"LOW",TRUE,"NEGLIGIBLE")</f>
        <v>MEDIUM</v>
      </c>
      <c r="J97" s="5">
        <f t="shared" si="3"/>
        <v>1.6899485241679538E-4</v>
      </c>
    </row>
    <row r="98" spans="2:10" x14ac:dyDescent="0.25">
      <c r="B98" s="5" t="s">
        <v>75</v>
      </c>
      <c r="C98" s="5" t="s">
        <v>48</v>
      </c>
      <c r="D98" s="6">
        <v>18517.400000000001</v>
      </c>
      <c r="F98" s="5" t="str">
        <f t="shared" si="2"/>
        <v>HIGH</v>
      </c>
      <c r="H98" s="5" t="str" cm="1">
        <f t="array" ref="H98">_xlfn.IFS(D98&gt;10000,"HIGH",D98&gt;5000,"MEDIUM",D98&gt;500,"LOW",TRUE,"NEGLIGIBLE")</f>
        <v>HIGH</v>
      </c>
      <c r="J98" s="5">
        <f t="shared" si="3"/>
        <v>5.4003261797012533E-5</v>
      </c>
    </row>
    <row r="99" spans="2:10" x14ac:dyDescent="0.25">
      <c r="B99" s="2" t="s">
        <v>79</v>
      </c>
      <c r="C99" s="2" t="s">
        <v>43</v>
      </c>
      <c r="D99" s="3">
        <v>7546.91</v>
      </c>
      <c r="F99" s="5" t="str">
        <f t="shared" si="2"/>
        <v>MEDIUM</v>
      </c>
      <c r="H99" s="5" t="str" cm="1">
        <f t="array" ref="H99">_xlfn.IFS(D99&gt;10000,"HIGH",D99&gt;5000,"MEDIUM",D99&gt;500,"LOW",TRUE,"NEGLIGIBLE")</f>
        <v>MEDIUM</v>
      </c>
      <c r="J99" s="5">
        <f t="shared" si="3"/>
        <v>1.3250456146952859E-4</v>
      </c>
    </row>
    <row r="100" spans="2:10" x14ac:dyDescent="0.25">
      <c r="B100" s="5" t="s">
        <v>61</v>
      </c>
      <c r="C100" s="5" t="s">
        <v>37</v>
      </c>
      <c r="D100" s="6">
        <v>24362.51</v>
      </c>
      <c r="F100" s="5" t="str">
        <f t="shared" si="2"/>
        <v>HIGH</v>
      </c>
      <c r="H100" s="5" t="str" cm="1">
        <f t="array" ref="H100">_xlfn.IFS(D100&gt;10000,"HIGH",D100&gt;5000,"MEDIUM",D100&gt;500,"LOW",TRUE,"NEGLIGIBLE")</f>
        <v>HIGH</v>
      </c>
      <c r="J100" s="5">
        <f t="shared" si="3"/>
        <v>4.1046673762268342E-5</v>
      </c>
    </row>
    <row r="101" spans="2:10" x14ac:dyDescent="0.25">
      <c r="B101" s="2" t="s">
        <v>98</v>
      </c>
      <c r="C101" s="2" t="s">
        <v>15</v>
      </c>
      <c r="D101" s="3">
        <v>0</v>
      </c>
      <c r="F101" s="5" t="str">
        <f t="shared" si="2"/>
        <v>Negligible</v>
      </c>
      <c r="H101" s="5" t="str" cm="1">
        <f t="array" ref="H101">_xlfn.IFS(D101&gt;10000,"HIGH",D101&gt;5000,"MEDIUM",D101&gt;500,"LOW",TRUE,"NEGLIGIBLE")</f>
        <v>NEGLIGIBLE</v>
      </c>
      <c r="J101" s="5" t="str">
        <f t="shared" si="3"/>
        <v>can not devide by zero</v>
      </c>
    </row>
    <row r="102" spans="2:10" x14ac:dyDescent="0.25">
      <c r="B102" s="5" t="s">
        <v>87</v>
      </c>
      <c r="C102" s="5" t="s">
        <v>43</v>
      </c>
      <c r="D102" s="6">
        <v>3029.36</v>
      </c>
      <c r="F102" s="5" t="str">
        <f t="shared" si="2"/>
        <v>LOW</v>
      </c>
      <c r="H102" s="5" t="str" cm="1">
        <f t="array" ref="H102">_xlfn.IFS(D102&gt;10000,"HIGH",D102&gt;5000,"MEDIUM",D102&gt;500,"LOW",TRUE,"NEGLIGIBLE")</f>
        <v>LOW</v>
      </c>
      <c r="J102" s="5">
        <f t="shared" si="3"/>
        <v>3.3010272796894395E-4</v>
      </c>
    </row>
    <row r="103" spans="2:10" x14ac:dyDescent="0.25">
      <c r="B103" s="2" t="s">
        <v>14</v>
      </c>
      <c r="C103" s="2" t="s">
        <v>43</v>
      </c>
      <c r="D103" s="3">
        <v>20316.32</v>
      </c>
      <c r="F103" s="5" t="str">
        <f t="shared" si="2"/>
        <v>HIGH</v>
      </c>
      <c r="H103" s="5" t="str" cm="1">
        <f t="array" ref="H103">_xlfn.IFS(D103&gt;10000,"HIGH",D103&gt;5000,"MEDIUM",D103&gt;500,"LOW",TRUE,"NEGLIGIBLE")</f>
        <v>HIGH</v>
      </c>
      <c r="J103" s="5">
        <f t="shared" si="3"/>
        <v>4.9221512557392283E-5</v>
      </c>
    </row>
    <row r="104" spans="2:10" x14ac:dyDescent="0.25">
      <c r="B104" s="5" t="s">
        <v>101</v>
      </c>
      <c r="C104" s="5" t="s">
        <v>37</v>
      </c>
      <c r="D104" s="6">
        <v>19810.37</v>
      </c>
      <c r="F104" s="5" t="str">
        <f t="shared" si="2"/>
        <v>HIGH</v>
      </c>
      <c r="H104" s="5" t="str" cm="1">
        <f t="array" ref="H104">_xlfn.IFS(D104&gt;10000,"HIGH",D104&gt;5000,"MEDIUM",D104&gt;500,"LOW",TRUE,"NEGLIGIBLE")</f>
        <v>HIGH</v>
      </c>
      <c r="J104" s="5">
        <f t="shared" si="3"/>
        <v>5.0478612968864292E-5</v>
      </c>
    </row>
    <row r="105" spans="2:10" x14ac:dyDescent="0.25">
      <c r="B105" s="2" t="s">
        <v>107</v>
      </c>
      <c r="C105" s="2" t="s">
        <v>43</v>
      </c>
      <c r="D105" s="3">
        <v>24752.78</v>
      </c>
      <c r="F105" s="5" t="str">
        <f t="shared" si="2"/>
        <v>HIGH</v>
      </c>
      <c r="H105" s="5" t="str" cm="1">
        <f t="array" ref="H105">_xlfn.IFS(D105&gt;10000,"HIGH",D105&gt;5000,"MEDIUM",D105&gt;500,"LOW",TRUE,"NEGLIGIBLE")</f>
        <v>HIGH</v>
      </c>
      <c r="J105" s="5">
        <f t="shared" si="3"/>
        <v>4.0399502601323974E-5</v>
      </c>
    </row>
    <row r="106" spans="2:10" x14ac:dyDescent="0.25">
      <c r="B106" s="5" t="s">
        <v>14</v>
      </c>
      <c r="C106" s="5" t="s">
        <v>15</v>
      </c>
      <c r="D106" s="6">
        <v>6763.22</v>
      </c>
      <c r="F106" s="5" t="str">
        <f t="shared" si="2"/>
        <v>MEDIUM</v>
      </c>
      <c r="H106" s="5" t="str" cm="1">
        <f t="array" ref="H106">_xlfn.IFS(D106&gt;10000,"HIGH",D106&gt;5000,"MEDIUM",D106&gt;500,"LOW",TRUE,"NEGLIGIBLE")</f>
        <v>MEDIUM</v>
      </c>
      <c r="J106" s="5">
        <f t="shared" si="3"/>
        <v>1.4785856441162641E-4</v>
      </c>
    </row>
    <row r="107" spans="2:10" x14ac:dyDescent="0.25">
      <c r="B107" s="2" t="s">
        <v>87</v>
      </c>
      <c r="C107" s="2" t="s">
        <v>31</v>
      </c>
      <c r="D107" s="3">
        <v>10331.24</v>
      </c>
      <c r="F107" s="5" t="str">
        <f t="shared" si="2"/>
        <v>HIGH</v>
      </c>
      <c r="H107" s="5" t="str" cm="1">
        <f t="array" ref="H107">_xlfn.IFS(D107&gt;10000,"HIGH",D107&gt;5000,"MEDIUM",D107&gt;500,"LOW",TRUE,"NEGLIGIBLE")</f>
        <v>HIGH</v>
      </c>
      <c r="J107" s="5">
        <f t="shared" si="3"/>
        <v>9.6793802099263981E-5</v>
      </c>
    </row>
    <row r="108" spans="2:10" x14ac:dyDescent="0.25">
      <c r="B108" s="5" t="s">
        <v>20</v>
      </c>
      <c r="C108" s="5" t="s">
        <v>15</v>
      </c>
      <c r="D108" s="6">
        <v>17732.5</v>
      </c>
      <c r="F108" s="5" t="str">
        <f t="shared" si="2"/>
        <v>HIGH</v>
      </c>
      <c r="H108" s="5" t="str" cm="1">
        <f t="array" ref="H108">_xlfn.IFS(D108&gt;10000,"HIGH",D108&gt;5000,"MEDIUM",D108&gt;500,"LOW",TRUE,"NEGLIGIBLE")</f>
        <v>HIGH</v>
      </c>
      <c r="J108" s="5">
        <f t="shared" si="3"/>
        <v>5.6393627520090233E-5</v>
      </c>
    </row>
    <row r="109" spans="2:10" x14ac:dyDescent="0.25">
      <c r="B109" s="2" t="s">
        <v>61</v>
      </c>
      <c r="C109" s="2" t="s">
        <v>31</v>
      </c>
      <c r="D109" s="3">
        <v>10743.45</v>
      </c>
      <c r="F109" s="5" t="str">
        <f t="shared" si="2"/>
        <v>HIGH</v>
      </c>
      <c r="H109" s="5" t="str" cm="1">
        <f t="array" ref="H109">_xlfn.IFS(D109&gt;10000,"HIGH",D109&gt;5000,"MEDIUM",D109&gt;500,"LOW",TRUE,"NEGLIGIBLE")</f>
        <v>HIGH</v>
      </c>
      <c r="J109" s="5">
        <f t="shared" si="3"/>
        <v>9.3079969655929885E-5</v>
      </c>
    </row>
    <row r="110" spans="2:10" x14ac:dyDescent="0.25">
      <c r="B110" s="5" t="s">
        <v>63</v>
      </c>
      <c r="C110" s="5" t="s">
        <v>31</v>
      </c>
      <c r="D110" s="6">
        <v>4314.8900000000003</v>
      </c>
      <c r="F110" s="5" t="str">
        <f t="shared" si="2"/>
        <v>LOW</v>
      </c>
      <c r="H110" s="5" t="str" cm="1">
        <f t="array" ref="H110">_xlfn.IFS(D110&gt;10000,"HIGH",D110&gt;5000,"MEDIUM",D110&gt;500,"LOW",TRUE,"NEGLIGIBLE")</f>
        <v>LOW</v>
      </c>
      <c r="J110" s="5">
        <f t="shared" si="3"/>
        <v>2.3175561833557748E-4</v>
      </c>
    </row>
    <row r="111" spans="2:10" x14ac:dyDescent="0.25">
      <c r="B111" s="2" t="s">
        <v>71</v>
      </c>
      <c r="C111" s="2" t="s">
        <v>48</v>
      </c>
      <c r="D111" s="3">
        <v>17279.21</v>
      </c>
      <c r="F111" s="5" t="str">
        <f t="shared" si="2"/>
        <v>HIGH</v>
      </c>
      <c r="H111" s="5" t="str" cm="1">
        <f t="array" ref="H111">_xlfn.IFS(D111&gt;10000,"HIGH",D111&gt;5000,"MEDIUM",D111&gt;500,"LOW",TRUE,"NEGLIGIBLE")</f>
        <v>HIGH</v>
      </c>
      <c r="J111" s="5">
        <f t="shared" si="3"/>
        <v>5.7873016185346438E-5</v>
      </c>
    </row>
    <row r="112" spans="2:10" x14ac:dyDescent="0.25">
      <c r="B112" s="5" t="s">
        <v>107</v>
      </c>
      <c r="C112" s="5" t="s">
        <v>31</v>
      </c>
      <c r="D112" s="6">
        <v>15031.31</v>
      </c>
      <c r="F112" s="5" t="str">
        <f t="shared" si="2"/>
        <v>HIGH</v>
      </c>
      <c r="H112" s="5" t="str" cm="1">
        <f t="array" ref="H112">_xlfn.IFS(D112&gt;10000,"HIGH",D112&gt;5000,"MEDIUM",D112&gt;500,"LOW",TRUE,"NEGLIGIBLE")</f>
        <v>HIGH</v>
      </c>
      <c r="J112" s="5">
        <f t="shared" si="3"/>
        <v>6.652780097010839E-5</v>
      </c>
    </row>
    <row r="113" spans="2:10" x14ac:dyDescent="0.25">
      <c r="B113" s="2" t="s">
        <v>95</v>
      </c>
      <c r="C113" s="2" t="s">
        <v>31</v>
      </c>
      <c r="D113" s="3">
        <v>24055.4</v>
      </c>
      <c r="F113" s="5" t="str">
        <f t="shared" si="2"/>
        <v>HIGH</v>
      </c>
      <c r="H113" s="5" t="str" cm="1">
        <f t="array" ref="H113">_xlfn.IFS(D113&gt;10000,"HIGH",D113&gt;5000,"MEDIUM",D113&gt;500,"LOW",TRUE,"NEGLIGIBLE")</f>
        <v>HIGH</v>
      </c>
      <c r="J113" s="5">
        <f t="shared" si="3"/>
        <v>4.1570707616585048E-5</v>
      </c>
    </row>
    <row r="114" spans="2:10" x14ac:dyDescent="0.25">
      <c r="B114" s="5" t="s">
        <v>77</v>
      </c>
      <c r="C114" s="5" t="s">
        <v>48</v>
      </c>
      <c r="D114" s="6">
        <v>13070.3</v>
      </c>
      <c r="F114" s="5" t="str">
        <f t="shared" si="2"/>
        <v>HIGH</v>
      </c>
      <c r="H114" s="5" t="str" cm="1">
        <f t="array" ref="H114">_xlfn.IFS(D114&gt;10000,"HIGH",D114&gt;5000,"MEDIUM",D114&gt;500,"LOW",TRUE,"NEGLIGIBLE")</f>
        <v>HIGH</v>
      </c>
      <c r="J114" s="5">
        <f t="shared" si="3"/>
        <v>7.6509337964698594E-5</v>
      </c>
    </row>
    <row r="115" spans="2:10" x14ac:dyDescent="0.25">
      <c r="B115" s="2" t="s">
        <v>98</v>
      </c>
      <c r="C115" s="2" t="s">
        <v>43</v>
      </c>
      <c r="D115" s="3">
        <v>11856.26</v>
      </c>
      <c r="F115" s="5" t="str">
        <f t="shared" si="2"/>
        <v>HIGH</v>
      </c>
      <c r="H115" s="5" t="str" cm="1">
        <f t="array" ref="H115">_xlfn.IFS(D115&gt;10000,"HIGH",D115&gt;5000,"MEDIUM",D115&gt;500,"LOW",TRUE,"NEGLIGIBLE")</f>
        <v>HIGH</v>
      </c>
      <c r="J115" s="5">
        <f t="shared" si="3"/>
        <v>8.4343629441324666E-5</v>
      </c>
    </row>
    <row r="116" spans="2:10" x14ac:dyDescent="0.25">
      <c r="B116" s="5" t="s">
        <v>42</v>
      </c>
      <c r="C116" s="5" t="s">
        <v>43</v>
      </c>
      <c r="D116" s="6">
        <v>17403.11</v>
      </c>
      <c r="F116" s="5" t="str">
        <f t="shared" si="2"/>
        <v>HIGH</v>
      </c>
      <c r="H116" s="5" t="str" cm="1">
        <f t="array" ref="H116">_xlfn.IFS(D116&gt;10000,"HIGH",D116&gt;5000,"MEDIUM",D116&gt;500,"LOW",TRUE,"NEGLIGIBLE")</f>
        <v>HIGH</v>
      </c>
      <c r="J116" s="5">
        <f t="shared" si="3"/>
        <v>5.7460994040720304E-5</v>
      </c>
    </row>
    <row r="117" spans="2:10" x14ac:dyDescent="0.25">
      <c r="B117" s="2" t="s">
        <v>75</v>
      </c>
      <c r="C117" s="2" t="s">
        <v>43</v>
      </c>
      <c r="D117" s="3">
        <v>6459.49</v>
      </c>
      <c r="F117" s="5" t="str">
        <f t="shared" si="2"/>
        <v>MEDIUM</v>
      </c>
      <c r="H117" s="5" t="str" cm="1">
        <f t="array" ref="H117">_xlfn.IFS(D117&gt;10000,"HIGH",D117&gt;5000,"MEDIUM",D117&gt;500,"LOW",TRUE,"NEGLIGIBLE")</f>
        <v>MEDIUM</v>
      </c>
      <c r="J117" s="5">
        <f t="shared" si="3"/>
        <v>1.5481098352965948E-4</v>
      </c>
    </row>
    <row r="118" spans="2:10" x14ac:dyDescent="0.25">
      <c r="B118" s="5" t="s">
        <v>87</v>
      </c>
      <c r="C118" s="5" t="s">
        <v>37</v>
      </c>
      <c r="D118" s="6">
        <v>4852.05</v>
      </c>
      <c r="F118" s="5" t="str">
        <f t="shared" si="2"/>
        <v>LOW</v>
      </c>
      <c r="H118" s="5" t="str" cm="1">
        <f t="array" ref="H118">_xlfn.IFS(D118&gt;10000,"HIGH",D118&gt;5000,"MEDIUM",D118&gt;500,"LOW",TRUE,"NEGLIGIBLE")</f>
        <v>LOW</v>
      </c>
      <c r="J118" s="5">
        <f t="shared" si="3"/>
        <v>2.060984532311085E-4</v>
      </c>
    </row>
    <row r="119" spans="2:10" x14ac:dyDescent="0.25">
      <c r="B119" s="2" t="s">
        <v>87</v>
      </c>
      <c r="C119" s="2" t="s">
        <v>43</v>
      </c>
      <c r="D119" s="3">
        <v>13820.65</v>
      </c>
      <c r="F119" s="5" t="str">
        <f t="shared" si="2"/>
        <v>HIGH</v>
      </c>
      <c r="H119" s="5" t="str" cm="1">
        <f t="array" ref="H119">_xlfn.IFS(D119&gt;10000,"HIGH",D119&gt;5000,"MEDIUM",D119&gt;500,"LOW",TRUE,"NEGLIGIBLE")</f>
        <v>HIGH</v>
      </c>
      <c r="J119" s="5">
        <f t="shared" si="3"/>
        <v>7.2355497027997963E-5</v>
      </c>
    </row>
    <row r="120" spans="2:10" x14ac:dyDescent="0.25">
      <c r="B120" s="5" t="s">
        <v>95</v>
      </c>
      <c r="C120" s="5" t="s">
        <v>48</v>
      </c>
      <c r="D120" s="6">
        <v>17802.61</v>
      </c>
      <c r="F120" s="5" t="str">
        <f t="shared" si="2"/>
        <v>HIGH</v>
      </c>
      <c r="H120" s="5" t="str" cm="1">
        <f t="array" ref="H120">_xlfn.IFS(D120&gt;10000,"HIGH",D120&gt;5000,"MEDIUM",D120&gt;500,"LOW",TRUE,"NEGLIGIBLE")</f>
        <v>HIGH</v>
      </c>
      <c r="J120" s="5">
        <f t="shared" si="3"/>
        <v>5.6171538892330954E-5</v>
      </c>
    </row>
    <row r="121" spans="2:10" x14ac:dyDescent="0.25">
      <c r="B121" s="2" t="s">
        <v>67</v>
      </c>
      <c r="C121" s="2" t="s">
        <v>15</v>
      </c>
      <c r="D121" s="3">
        <v>0</v>
      </c>
      <c r="F121" s="5" t="str">
        <f t="shared" si="2"/>
        <v>Negligible</v>
      </c>
      <c r="H121" s="5" t="str" cm="1">
        <f t="array" ref="H121">_xlfn.IFS(D121&gt;10000,"HIGH",D121&gt;5000,"MEDIUM",D121&gt;500,"LOW",TRUE,"NEGLIGIBLE")</f>
        <v>NEGLIGIBLE</v>
      </c>
      <c r="J121" s="5" t="str">
        <f t="shared" si="3"/>
        <v>can not devide by zero</v>
      </c>
    </row>
    <row r="122" spans="2:10" x14ac:dyDescent="0.25">
      <c r="B122" s="5" t="s">
        <v>87</v>
      </c>
      <c r="C122" s="5" t="s">
        <v>15</v>
      </c>
      <c r="D122" s="6">
        <v>17694.21</v>
      </c>
      <c r="F122" s="5" t="str">
        <f t="shared" si="2"/>
        <v>HIGH</v>
      </c>
      <c r="H122" s="5" t="str" cm="1">
        <f t="array" ref="H122">_xlfn.IFS(D122&gt;10000,"HIGH",D122&gt;5000,"MEDIUM",D122&gt;500,"LOW",TRUE,"NEGLIGIBLE")</f>
        <v>HIGH</v>
      </c>
      <c r="J122" s="5">
        <f t="shared" si="3"/>
        <v>5.6515662468118106E-5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2AD5-43C1-4C4E-B237-2BF6A6E00AE5}">
  <dimension ref="C2:N126"/>
  <sheetViews>
    <sheetView topLeftCell="H1" workbookViewId="0">
      <selection activeCell="F7" sqref="F7"/>
    </sheetView>
  </sheetViews>
  <sheetFormatPr defaultRowHeight="15" x14ac:dyDescent="0.25"/>
  <cols>
    <col min="3" max="3" width="17.28515625" bestFit="1" customWidth="1"/>
    <col min="4" max="4" width="20.85546875" bestFit="1" customWidth="1"/>
    <col min="6" max="6" width="17.5703125" bestFit="1" customWidth="1"/>
  </cols>
  <sheetData>
    <row r="2" spans="3:14" x14ac:dyDescent="0.25">
      <c r="C2" s="26" t="s">
        <v>193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3:14" x14ac:dyDescent="0.25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3:14" x14ac:dyDescent="0.25"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3:14" ht="21" x14ac:dyDescent="0.25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3:14" x14ac:dyDescent="0.25">
      <c r="C6" s="1" t="s">
        <v>8</v>
      </c>
      <c r="D6" s="1" t="s">
        <v>9</v>
      </c>
      <c r="F6" s="24" t="s">
        <v>194</v>
      </c>
    </row>
    <row r="7" spans="3:14" x14ac:dyDescent="0.25">
      <c r="C7" s="2" t="s">
        <v>16</v>
      </c>
      <c r="D7" s="2" t="s">
        <v>17</v>
      </c>
      <c r="F7" s="2" t="str">
        <f>IF(AND(OR(C7="Premium",C7="Enterprise"),D7="Pending"),"TRUE","FALSE")</f>
        <v>TRUE</v>
      </c>
    </row>
    <row r="8" spans="3:14" x14ac:dyDescent="0.25">
      <c r="C8" s="5" t="s">
        <v>21</v>
      </c>
      <c r="D8" s="5" t="s">
        <v>17</v>
      </c>
      <c r="F8" s="5" t="str">
        <f t="shared" ref="F8:F71" si="0">IF(AND(OR(C8="Premium",C8="Enterprise"),D8="Pending"),"TRUE","FALSE")</f>
        <v>FALSE</v>
      </c>
    </row>
    <row r="9" spans="3:14" x14ac:dyDescent="0.25">
      <c r="C9" s="2" t="s">
        <v>27</v>
      </c>
      <c r="D9" s="2" t="s">
        <v>17</v>
      </c>
      <c r="F9" s="2" t="str">
        <f t="shared" si="0"/>
        <v>FALSE</v>
      </c>
    </row>
    <row r="10" spans="3:14" x14ac:dyDescent="0.25">
      <c r="C10" s="5" t="s">
        <v>32</v>
      </c>
      <c r="D10" s="5" t="s">
        <v>33</v>
      </c>
      <c r="F10" s="5" t="str">
        <f t="shared" si="0"/>
        <v>FALSE</v>
      </c>
    </row>
    <row r="11" spans="3:14" x14ac:dyDescent="0.25">
      <c r="C11" s="2" t="s">
        <v>16</v>
      </c>
      <c r="D11" s="2" t="s">
        <v>33</v>
      </c>
      <c r="F11" s="2" t="str">
        <f t="shared" si="0"/>
        <v>FALSE</v>
      </c>
    </row>
    <row r="12" spans="3:14" x14ac:dyDescent="0.25">
      <c r="C12" s="5" t="s">
        <v>27</v>
      </c>
      <c r="D12" s="5" t="s">
        <v>33</v>
      </c>
      <c r="F12" s="5" t="str">
        <f t="shared" si="0"/>
        <v>FALSE</v>
      </c>
    </row>
    <row r="13" spans="3:14" x14ac:dyDescent="0.25">
      <c r="C13" s="2" t="s">
        <v>21</v>
      </c>
      <c r="D13" s="2" t="s">
        <v>33</v>
      </c>
      <c r="F13" s="2" t="str">
        <f t="shared" si="0"/>
        <v>FALSE</v>
      </c>
    </row>
    <row r="14" spans="3:14" x14ac:dyDescent="0.25">
      <c r="C14" s="5" t="s">
        <v>27</v>
      </c>
      <c r="D14" s="5" t="s">
        <v>33</v>
      </c>
      <c r="F14" s="5" t="str">
        <f t="shared" si="0"/>
        <v>FALSE</v>
      </c>
    </row>
    <row r="15" spans="3:14" x14ac:dyDescent="0.25">
      <c r="C15" s="2" t="s">
        <v>21</v>
      </c>
      <c r="D15" s="2" t="s">
        <v>33</v>
      </c>
      <c r="F15" s="2" t="str">
        <f t="shared" si="0"/>
        <v>FALSE</v>
      </c>
    </row>
    <row r="16" spans="3:14" x14ac:dyDescent="0.25">
      <c r="C16" s="5" t="s">
        <v>27</v>
      </c>
      <c r="D16" s="5" t="s">
        <v>56</v>
      </c>
      <c r="F16" s="5" t="str">
        <f t="shared" si="0"/>
        <v>FALSE</v>
      </c>
    </row>
    <row r="17" spans="3:6" x14ac:dyDescent="0.25">
      <c r="C17" s="2" t="s">
        <v>16</v>
      </c>
      <c r="D17" s="2" t="s">
        <v>33</v>
      </c>
      <c r="F17" s="2" t="str">
        <f t="shared" si="0"/>
        <v>FALSE</v>
      </c>
    </row>
    <row r="18" spans="3:6" x14ac:dyDescent="0.25">
      <c r="C18" s="5" t="s">
        <v>32</v>
      </c>
      <c r="D18" s="5" t="s">
        <v>33</v>
      </c>
      <c r="F18" s="5" t="str">
        <f t="shared" si="0"/>
        <v>FALSE</v>
      </c>
    </row>
    <row r="19" spans="3:6" x14ac:dyDescent="0.25">
      <c r="C19" s="2" t="s">
        <v>21</v>
      </c>
      <c r="D19" s="2" t="s">
        <v>33</v>
      </c>
      <c r="F19" s="2" t="str">
        <f t="shared" si="0"/>
        <v>FALSE</v>
      </c>
    </row>
    <row r="20" spans="3:6" x14ac:dyDescent="0.25">
      <c r="C20" s="5" t="s">
        <v>32</v>
      </c>
      <c r="D20" s="5" t="s">
        <v>33</v>
      </c>
      <c r="F20" s="5" t="str">
        <f t="shared" si="0"/>
        <v>FALSE</v>
      </c>
    </row>
    <row r="21" spans="3:6" x14ac:dyDescent="0.25">
      <c r="C21" s="2" t="s">
        <v>21</v>
      </c>
      <c r="D21" s="2" t="s">
        <v>56</v>
      </c>
      <c r="F21" s="2" t="str">
        <f t="shared" si="0"/>
        <v>FALSE</v>
      </c>
    </row>
    <row r="22" spans="3:6" x14ac:dyDescent="0.25">
      <c r="C22" s="5" t="s">
        <v>32</v>
      </c>
      <c r="D22" s="5" t="s">
        <v>17</v>
      </c>
      <c r="F22" s="5" t="str">
        <f t="shared" si="0"/>
        <v>TRUE</v>
      </c>
    </row>
    <row r="23" spans="3:6" x14ac:dyDescent="0.25">
      <c r="C23" s="2" t="s">
        <v>16</v>
      </c>
      <c r="D23" s="2" t="s">
        <v>33</v>
      </c>
      <c r="F23" s="2" t="str">
        <f t="shared" si="0"/>
        <v>FALSE</v>
      </c>
    </row>
    <row r="24" spans="3:6" x14ac:dyDescent="0.25">
      <c r="C24" s="5" t="s">
        <v>16</v>
      </c>
      <c r="D24" s="5" t="s">
        <v>33</v>
      </c>
      <c r="F24" s="5" t="str">
        <f t="shared" si="0"/>
        <v>FALSE</v>
      </c>
    </row>
    <row r="25" spans="3:6" x14ac:dyDescent="0.25">
      <c r="C25" s="2" t="s">
        <v>16</v>
      </c>
      <c r="D25" s="2" t="s">
        <v>17</v>
      </c>
      <c r="F25" s="2" t="str">
        <f t="shared" si="0"/>
        <v>TRUE</v>
      </c>
    </row>
    <row r="26" spans="3:6" x14ac:dyDescent="0.25">
      <c r="C26" s="5" t="s">
        <v>16</v>
      </c>
      <c r="D26" s="5" t="s">
        <v>33</v>
      </c>
      <c r="F26" s="5" t="str">
        <f t="shared" si="0"/>
        <v>FALSE</v>
      </c>
    </row>
    <row r="27" spans="3:6" x14ac:dyDescent="0.25">
      <c r="C27" s="2" t="s">
        <v>21</v>
      </c>
      <c r="D27" s="2" t="s">
        <v>33</v>
      </c>
      <c r="F27" s="2" t="str">
        <f t="shared" si="0"/>
        <v>FALSE</v>
      </c>
    </row>
    <row r="28" spans="3:6" x14ac:dyDescent="0.25">
      <c r="C28" s="5" t="s">
        <v>27</v>
      </c>
      <c r="D28" s="5" t="s">
        <v>33</v>
      </c>
      <c r="F28" s="5" t="str">
        <f t="shared" si="0"/>
        <v>FALSE</v>
      </c>
    </row>
    <row r="29" spans="3:6" x14ac:dyDescent="0.25">
      <c r="C29" s="2" t="s">
        <v>32</v>
      </c>
      <c r="D29" s="2" t="s">
        <v>56</v>
      </c>
      <c r="F29" s="2" t="str">
        <f t="shared" si="0"/>
        <v>FALSE</v>
      </c>
    </row>
    <row r="30" spans="3:6" x14ac:dyDescent="0.25">
      <c r="C30" s="5" t="s">
        <v>16</v>
      </c>
      <c r="D30" s="5" t="s">
        <v>17</v>
      </c>
      <c r="F30" s="5" t="str">
        <f t="shared" si="0"/>
        <v>TRUE</v>
      </c>
    </row>
    <row r="31" spans="3:6" x14ac:dyDescent="0.25">
      <c r="C31" s="2" t="s">
        <v>21</v>
      </c>
      <c r="D31" s="2" t="s">
        <v>33</v>
      </c>
      <c r="F31" s="2" t="str">
        <f t="shared" si="0"/>
        <v>FALSE</v>
      </c>
    </row>
    <row r="32" spans="3:6" x14ac:dyDescent="0.25">
      <c r="C32" s="5" t="s">
        <v>27</v>
      </c>
      <c r="D32" s="5" t="s">
        <v>33</v>
      </c>
      <c r="F32" s="5" t="str">
        <f t="shared" si="0"/>
        <v>FALSE</v>
      </c>
    </row>
    <row r="33" spans="3:6" x14ac:dyDescent="0.25">
      <c r="C33" s="2" t="s">
        <v>27</v>
      </c>
      <c r="D33" s="2" t="s">
        <v>56</v>
      </c>
      <c r="F33" s="2" t="str">
        <f t="shared" si="0"/>
        <v>FALSE</v>
      </c>
    </row>
    <row r="34" spans="3:6" x14ac:dyDescent="0.25">
      <c r="C34" s="5" t="s">
        <v>27</v>
      </c>
      <c r="D34" s="5" t="s">
        <v>56</v>
      </c>
      <c r="F34" s="5" t="str">
        <f t="shared" si="0"/>
        <v>FALSE</v>
      </c>
    </row>
    <row r="35" spans="3:6" x14ac:dyDescent="0.25">
      <c r="C35" s="2" t="s">
        <v>32</v>
      </c>
      <c r="D35" s="2" t="s">
        <v>33</v>
      </c>
      <c r="F35" s="2" t="str">
        <f t="shared" si="0"/>
        <v>FALSE</v>
      </c>
    </row>
    <row r="36" spans="3:6" x14ac:dyDescent="0.25">
      <c r="C36" s="5" t="s">
        <v>21</v>
      </c>
      <c r="D36" s="5" t="s">
        <v>33</v>
      </c>
      <c r="F36" s="5" t="str">
        <f t="shared" si="0"/>
        <v>FALSE</v>
      </c>
    </row>
    <row r="37" spans="3:6" x14ac:dyDescent="0.25">
      <c r="C37" s="2" t="s">
        <v>16</v>
      </c>
      <c r="D37" s="2" t="s">
        <v>17</v>
      </c>
      <c r="F37" s="2" t="str">
        <f t="shared" si="0"/>
        <v>TRUE</v>
      </c>
    </row>
    <row r="38" spans="3:6" x14ac:dyDescent="0.25">
      <c r="C38" s="5" t="s">
        <v>27</v>
      </c>
      <c r="D38" s="5" t="s">
        <v>33</v>
      </c>
      <c r="F38" s="5" t="str">
        <f t="shared" si="0"/>
        <v>FALSE</v>
      </c>
    </row>
    <row r="39" spans="3:6" x14ac:dyDescent="0.25">
      <c r="C39" s="2" t="s">
        <v>32</v>
      </c>
      <c r="D39" s="2" t="s">
        <v>56</v>
      </c>
      <c r="F39" s="2" t="str">
        <f t="shared" si="0"/>
        <v>FALSE</v>
      </c>
    </row>
    <row r="40" spans="3:6" x14ac:dyDescent="0.25">
      <c r="C40" s="5" t="s">
        <v>32</v>
      </c>
      <c r="D40" s="5" t="s">
        <v>33</v>
      </c>
      <c r="F40" s="5" t="str">
        <f t="shared" si="0"/>
        <v>FALSE</v>
      </c>
    </row>
    <row r="41" spans="3:6" x14ac:dyDescent="0.25">
      <c r="C41" s="2" t="s">
        <v>16</v>
      </c>
      <c r="D41" s="2" t="s">
        <v>17</v>
      </c>
      <c r="F41" s="2" t="str">
        <f t="shared" si="0"/>
        <v>TRUE</v>
      </c>
    </row>
    <row r="42" spans="3:6" x14ac:dyDescent="0.25">
      <c r="C42" s="5" t="s">
        <v>16</v>
      </c>
      <c r="D42" s="5" t="s">
        <v>33</v>
      </c>
      <c r="F42" s="5" t="str">
        <f t="shared" si="0"/>
        <v>FALSE</v>
      </c>
    </row>
    <row r="43" spans="3:6" x14ac:dyDescent="0.25">
      <c r="C43" s="2" t="s">
        <v>21</v>
      </c>
      <c r="D43" s="2" t="s">
        <v>17</v>
      </c>
      <c r="F43" s="2" t="str">
        <f t="shared" si="0"/>
        <v>FALSE</v>
      </c>
    </row>
    <row r="44" spans="3:6" x14ac:dyDescent="0.25">
      <c r="C44" s="5" t="s">
        <v>32</v>
      </c>
      <c r="D44" s="5" t="s">
        <v>33</v>
      </c>
      <c r="F44" s="5" t="str">
        <f t="shared" si="0"/>
        <v>FALSE</v>
      </c>
    </row>
    <row r="45" spans="3:6" x14ac:dyDescent="0.25">
      <c r="C45" s="2" t="s">
        <v>21</v>
      </c>
      <c r="D45" s="2" t="s">
        <v>33</v>
      </c>
      <c r="F45" s="2" t="str">
        <f t="shared" si="0"/>
        <v>FALSE</v>
      </c>
    </row>
    <row r="46" spans="3:6" x14ac:dyDescent="0.25">
      <c r="C46" s="5" t="s">
        <v>16</v>
      </c>
      <c r="D46" s="5" t="s">
        <v>33</v>
      </c>
      <c r="F46" s="5" t="str">
        <f t="shared" si="0"/>
        <v>FALSE</v>
      </c>
    </row>
    <row r="47" spans="3:6" x14ac:dyDescent="0.25">
      <c r="C47" s="2" t="s">
        <v>21</v>
      </c>
      <c r="D47" s="2" t="s">
        <v>33</v>
      </c>
      <c r="F47" s="2" t="str">
        <f t="shared" si="0"/>
        <v>FALSE</v>
      </c>
    </row>
    <row r="48" spans="3:6" x14ac:dyDescent="0.25">
      <c r="C48" s="5" t="s">
        <v>16</v>
      </c>
      <c r="D48" s="5" t="s">
        <v>17</v>
      </c>
      <c r="F48" s="5" t="str">
        <f t="shared" si="0"/>
        <v>TRUE</v>
      </c>
    </row>
    <row r="49" spans="3:6" x14ac:dyDescent="0.25">
      <c r="C49" s="2" t="s">
        <v>16</v>
      </c>
      <c r="D49" s="2" t="s">
        <v>17</v>
      </c>
      <c r="F49" s="2" t="str">
        <f t="shared" si="0"/>
        <v>TRUE</v>
      </c>
    </row>
    <row r="50" spans="3:6" x14ac:dyDescent="0.25">
      <c r="C50" s="5" t="s">
        <v>32</v>
      </c>
      <c r="D50" s="5" t="s">
        <v>17</v>
      </c>
      <c r="F50" s="5" t="str">
        <f t="shared" si="0"/>
        <v>TRUE</v>
      </c>
    </row>
    <row r="51" spans="3:6" x14ac:dyDescent="0.25">
      <c r="C51" s="2" t="s">
        <v>16</v>
      </c>
      <c r="D51" s="2" t="s">
        <v>33</v>
      </c>
      <c r="F51" s="2" t="str">
        <f t="shared" si="0"/>
        <v>FALSE</v>
      </c>
    </row>
    <row r="52" spans="3:6" x14ac:dyDescent="0.25">
      <c r="C52" s="5" t="s">
        <v>27</v>
      </c>
      <c r="D52" s="5" t="s">
        <v>17</v>
      </c>
      <c r="F52" s="5" t="str">
        <f t="shared" si="0"/>
        <v>FALSE</v>
      </c>
    </row>
    <row r="53" spans="3:6" x14ac:dyDescent="0.25">
      <c r="C53" s="2" t="s">
        <v>32</v>
      </c>
      <c r="D53" s="2" t="s">
        <v>17</v>
      </c>
      <c r="F53" s="2" t="str">
        <f t="shared" si="0"/>
        <v>TRUE</v>
      </c>
    </row>
    <row r="54" spans="3:6" x14ac:dyDescent="0.25">
      <c r="C54" s="5" t="s">
        <v>16</v>
      </c>
      <c r="D54" s="5" t="s">
        <v>33</v>
      </c>
      <c r="F54" s="5" t="str">
        <f t="shared" si="0"/>
        <v>FALSE</v>
      </c>
    </row>
    <row r="55" spans="3:6" x14ac:dyDescent="0.25">
      <c r="C55" s="2" t="s">
        <v>27</v>
      </c>
      <c r="D55" s="2" t="s">
        <v>17</v>
      </c>
      <c r="F55" s="2" t="str">
        <f t="shared" si="0"/>
        <v>FALSE</v>
      </c>
    </row>
    <row r="56" spans="3:6" x14ac:dyDescent="0.25">
      <c r="C56" s="5" t="s">
        <v>16</v>
      </c>
      <c r="D56" s="5" t="s">
        <v>33</v>
      </c>
      <c r="F56" s="5" t="str">
        <f t="shared" si="0"/>
        <v>FALSE</v>
      </c>
    </row>
    <row r="57" spans="3:6" x14ac:dyDescent="0.25">
      <c r="C57" s="2" t="s">
        <v>16</v>
      </c>
      <c r="D57" s="2" t="s">
        <v>56</v>
      </c>
      <c r="F57" s="2" t="str">
        <f t="shared" si="0"/>
        <v>FALSE</v>
      </c>
    </row>
    <row r="58" spans="3:6" x14ac:dyDescent="0.25">
      <c r="C58" s="5" t="s">
        <v>32</v>
      </c>
      <c r="D58" s="5" t="s">
        <v>33</v>
      </c>
      <c r="F58" s="5" t="str">
        <f t="shared" si="0"/>
        <v>FALSE</v>
      </c>
    </row>
    <row r="59" spans="3:6" x14ac:dyDescent="0.25">
      <c r="C59" s="2" t="s">
        <v>16</v>
      </c>
      <c r="D59" s="2" t="s">
        <v>33</v>
      </c>
      <c r="F59" s="2" t="str">
        <f t="shared" si="0"/>
        <v>FALSE</v>
      </c>
    </row>
    <row r="60" spans="3:6" x14ac:dyDescent="0.25">
      <c r="C60" s="5" t="s">
        <v>16</v>
      </c>
      <c r="D60" s="5" t="s">
        <v>33</v>
      </c>
      <c r="F60" s="5" t="str">
        <f t="shared" si="0"/>
        <v>FALSE</v>
      </c>
    </row>
    <row r="61" spans="3:6" x14ac:dyDescent="0.25">
      <c r="C61" s="2" t="s">
        <v>27</v>
      </c>
      <c r="D61" s="2" t="s">
        <v>33</v>
      </c>
      <c r="F61" s="2" t="str">
        <f t="shared" si="0"/>
        <v>FALSE</v>
      </c>
    </row>
    <row r="62" spans="3:6" x14ac:dyDescent="0.25">
      <c r="C62" s="5" t="s">
        <v>21</v>
      </c>
      <c r="D62" s="5" t="s">
        <v>33</v>
      </c>
      <c r="F62" s="5" t="str">
        <f t="shared" si="0"/>
        <v>FALSE</v>
      </c>
    </row>
    <row r="63" spans="3:6" x14ac:dyDescent="0.25">
      <c r="C63" s="2" t="s">
        <v>32</v>
      </c>
      <c r="D63" s="2" t="s">
        <v>56</v>
      </c>
      <c r="F63" s="2" t="str">
        <f t="shared" si="0"/>
        <v>FALSE</v>
      </c>
    </row>
    <row r="64" spans="3:6" x14ac:dyDescent="0.25">
      <c r="C64" s="5" t="s">
        <v>32</v>
      </c>
      <c r="D64" s="5" t="s">
        <v>17</v>
      </c>
      <c r="F64" s="5" t="str">
        <f t="shared" si="0"/>
        <v>TRUE</v>
      </c>
    </row>
    <row r="65" spans="3:6" x14ac:dyDescent="0.25">
      <c r="C65" s="2" t="s">
        <v>21</v>
      </c>
      <c r="D65" s="2" t="s">
        <v>33</v>
      </c>
      <c r="F65" s="2" t="str">
        <f t="shared" si="0"/>
        <v>FALSE</v>
      </c>
    </row>
    <row r="66" spans="3:6" x14ac:dyDescent="0.25">
      <c r="C66" s="5" t="s">
        <v>32</v>
      </c>
      <c r="D66" s="5" t="s">
        <v>56</v>
      </c>
      <c r="F66" s="5" t="str">
        <f t="shared" si="0"/>
        <v>FALSE</v>
      </c>
    </row>
    <row r="67" spans="3:6" x14ac:dyDescent="0.25">
      <c r="C67" s="2" t="s">
        <v>32</v>
      </c>
      <c r="D67" s="2" t="s">
        <v>56</v>
      </c>
      <c r="F67" s="2" t="str">
        <f t="shared" si="0"/>
        <v>FALSE</v>
      </c>
    </row>
    <row r="68" spans="3:6" x14ac:dyDescent="0.25">
      <c r="C68" s="5" t="s">
        <v>16</v>
      </c>
      <c r="D68" s="5" t="s">
        <v>33</v>
      </c>
      <c r="F68" s="5" t="str">
        <f t="shared" si="0"/>
        <v>FALSE</v>
      </c>
    </row>
    <row r="69" spans="3:6" x14ac:dyDescent="0.25">
      <c r="C69" s="2" t="s">
        <v>32</v>
      </c>
      <c r="D69" s="2" t="s">
        <v>33</v>
      </c>
      <c r="F69" s="2" t="str">
        <f t="shared" si="0"/>
        <v>FALSE</v>
      </c>
    </row>
    <row r="70" spans="3:6" x14ac:dyDescent="0.25">
      <c r="C70" s="5" t="s">
        <v>16</v>
      </c>
      <c r="D70" s="5" t="s">
        <v>56</v>
      </c>
      <c r="F70" s="5" t="str">
        <f t="shared" si="0"/>
        <v>FALSE</v>
      </c>
    </row>
    <row r="71" spans="3:6" x14ac:dyDescent="0.25">
      <c r="C71" s="2" t="s">
        <v>27</v>
      </c>
      <c r="D71" s="2" t="s">
        <v>33</v>
      </c>
      <c r="F71" s="2" t="str">
        <f t="shared" si="0"/>
        <v>FALSE</v>
      </c>
    </row>
    <row r="72" spans="3:6" x14ac:dyDescent="0.25">
      <c r="C72" s="5" t="s">
        <v>21</v>
      </c>
      <c r="D72" s="5" t="s">
        <v>17</v>
      </c>
      <c r="F72" s="5" t="str">
        <f t="shared" ref="F72:F126" si="1">IF(AND(OR(C72="Premium",C72="Enterprise"),D72="Pending"),"TRUE","FALSE")</f>
        <v>FALSE</v>
      </c>
    </row>
    <row r="73" spans="3:6" x14ac:dyDescent="0.25">
      <c r="C73" s="2" t="s">
        <v>27</v>
      </c>
      <c r="D73" s="2" t="s">
        <v>17</v>
      </c>
      <c r="F73" s="2" t="str">
        <f t="shared" si="1"/>
        <v>FALSE</v>
      </c>
    </row>
    <row r="74" spans="3:6" x14ac:dyDescent="0.25">
      <c r="C74" s="5" t="s">
        <v>27</v>
      </c>
      <c r="D74" s="5" t="s">
        <v>33</v>
      </c>
      <c r="F74" s="5" t="str">
        <f t="shared" si="1"/>
        <v>FALSE</v>
      </c>
    </row>
    <row r="75" spans="3:6" x14ac:dyDescent="0.25">
      <c r="C75" s="2" t="s">
        <v>21</v>
      </c>
      <c r="D75" s="2" t="s">
        <v>33</v>
      </c>
      <c r="F75" s="2" t="str">
        <f t="shared" si="1"/>
        <v>FALSE</v>
      </c>
    </row>
    <row r="76" spans="3:6" x14ac:dyDescent="0.25">
      <c r="C76" s="5" t="s">
        <v>32</v>
      </c>
      <c r="D76" s="5" t="s">
        <v>17</v>
      </c>
      <c r="F76" s="5" t="str">
        <f t="shared" si="1"/>
        <v>TRUE</v>
      </c>
    </row>
    <row r="77" spans="3:6" x14ac:dyDescent="0.25">
      <c r="C77" s="2" t="s">
        <v>16</v>
      </c>
      <c r="D77" s="2" t="s">
        <v>56</v>
      </c>
      <c r="F77" s="2" t="str">
        <f t="shared" si="1"/>
        <v>FALSE</v>
      </c>
    </row>
    <row r="78" spans="3:6" x14ac:dyDescent="0.25">
      <c r="C78" s="5" t="s">
        <v>27</v>
      </c>
      <c r="D78" s="5" t="s">
        <v>56</v>
      </c>
      <c r="F78" s="5" t="str">
        <f t="shared" si="1"/>
        <v>FALSE</v>
      </c>
    </row>
    <row r="79" spans="3:6" x14ac:dyDescent="0.25">
      <c r="C79" s="2" t="s">
        <v>16</v>
      </c>
      <c r="D79" s="2" t="s">
        <v>33</v>
      </c>
      <c r="F79" s="2" t="str">
        <f t="shared" si="1"/>
        <v>FALSE</v>
      </c>
    </row>
    <row r="80" spans="3:6" x14ac:dyDescent="0.25">
      <c r="C80" s="5" t="s">
        <v>21</v>
      </c>
      <c r="D80" s="5" t="s">
        <v>56</v>
      </c>
      <c r="F80" s="5" t="str">
        <f t="shared" si="1"/>
        <v>FALSE</v>
      </c>
    </row>
    <row r="81" spans="3:6" x14ac:dyDescent="0.25">
      <c r="C81" s="2" t="s">
        <v>27</v>
      </c>
      <c r="D81" s="2" t="s">
        <v>33</v>
      </c>
      <c r="F81" s="2" t="str">
        <f t="shared" si="1"/>
        <v>FALSE</v>
      </c>
    </row>
    <row r="82" spans="3:6" x14ac:dyDescent="0.25">
      <c r="C82" s="5" t="s">
        <v>16</v>
      </c>
      <c r="D82" s="5" t="s">
        <v>33</v>
      </c>
      <c r="F82" s="5" t="str">
        <f t="shared" si="1"/>
        <v>FALSE</v>
      </c>
    </row>
    <row r="83" spans="3:6" x14ac:dyDescent="0.25">
      <c r="C83" s="2" t="s">
        <v>27</v>
      </c>
      <c r="D83" s="2" t="s">
        <v>33</v>
      </c>
      <c r="F83" s="2" t="str">
        <f t="shared" si="1"/>
        <v>FALSE</v>
      </c>
    </row>
    <row r="84" spans="3:6" x14ac:dyDescent="0.25">
      <c r="C84" s="5" t="s">
        <v>32</v>
      </c>
      <c r="D84" s="5" t="s">
        <v>33</v>
      </c>
      <c r="F84" s="5" t="str">
        <f t="shared" si="1"/>
        <v>FALSE</v>
      </c>
    </row>
    <row r="85" spans="3:6" x14ac:dyDescent="0.25">
      <c r="C85" s="2" t="s">
        <v>16</v>
      </c>
      <c r="D85" s="2" t="s">
        <v>33</v>
      </c>
      <c r="F85" s="2" t="str">
        <f t="shared" si="1"/>
        <v>FALSE</v>
      </c>
    </row>
    <row r="86" spans="3:6" x14ac:dyDescent="0.25">
      <c r="C86" s="5" t="s">
        <v>21</v>
      </c>
      <c r="D86" s="5" t="s">
        <v>33</v>
      </c>
      <c r="F86" s="5" t="str">
        <f t="shared" si="1"/>
        <v>FALSE</v>
      </c>
    </row>
    <row r="87" spans="3:6" x14ac:dyDescent="0.25">
      <c r="C87" s="2" t="s">
        <v>32</v>
      </c>
      <c r="D87" s="2" t="s">
        <v>33</v>
      </c>
      <c r="F87" s="2" t="str">
        <f t="shared" si="1"/>
        <v>FALSE</v>
      </c>
    </row>
    <row r="88" spans="3:6" x14ac:dyDescent="0.25">
      <c r="C88" s="5" t="s">
        <v>16</v>
      </c>
      <c r="D88" s="5" t="s">
        <v>33</v>
      </c>
      <c r="F88" s="5" t="str">
        <f t="shared" si="1"/>
        <v>FALSE</v>
      </c>
    </row>
    <row r="89" spans="3:6" x14ac:dyDescent="0.25">
      <c r="C89" s="2" t="s">
        <v>21</v>
      </c>
      <c r="D89" s="2" t="s">
        <v>33</v>
      </c>
      <c r="F89" s="2" t="str">
        <f t="shared" si="1"/>
        <v>FALSE</v>
      </c>
    </row>
    <row r="90" spans="3:6" x14ac:dyDescent="0.25">
      <c r="C90" s="5" t="s">
        <v>32</v>
      </c>
      <c r="D90" s="5" t="s">
        <v>17</v>
      </c>
      <c r="F90" s="5" t="str">
        <f t="shared" si="1"/>
        <v>TRUE</v>
      </c>
    </row>
    <row r="91" spans="3:6" x14ac:dyDescent="0.25">
      <c r="C91" s="2" t="s">
        <v>27</v>
      </c>
      <c r="D91" s="2" t="s">
        <v>56</v>
      </c>
      <c r="F91" s="2" t="str">
        <f t="shared" si="1"/>
        <v>FALSE</v>
      </c>
    </row>
    <row r="92" spans="3:6" x14ac:dyDescent="0.25">
      <c r="C92" s="5" t="s">
        <v>21</v>
      </c>
      <c r="D92" s="5" t="s">
        <v>17</v>
      </c>
      <c r="F92" s="5" t="str">
        <f t="shared" si="1"/>
        <v>FALSE</v>
      </c>
    </row>
    <row r="93" spans="3:6" x14ac:dyDescent="0.25">
      <c r="C93" s="2" t="s">
        <v>32</v>
      </c>
      <c r="D93" s="2" t="s">
        <v>33</v>
      </c>
      <c r="F93" s="2" t="str">
        <f t="shared" si="1"/>
        <v>FALSE</v>
      </c>
    </row>
    <row r="94" spans="3:6" x14ac:dyDescent="0.25">
      <c r="C94" s="5" t="s">
        <v>27</v>
      </c>
      <c r="D94" s="5" t="s">
        <v>17</v>
      </c>
      <c r="F94" s="5" t="str">
        <f t="shared" si="1"/>
        <v>FALSE</v>
      </c>
    </row>
    <row r="95" spans="3:6" x14ac:dyDescent="0.25">
      <c r="C95" s="2" t="s">
        <v>21</v>
      </c>
      <c r="D95" s="2" t="s">
        <v>56</v>
      </c>
      <c r="F95" s="2" t="str">
        <f t="shared" si="1"/>
        <v>FALSE</v>
      </c>
    </row>
    <row r="96" spans="3:6" x14ac:dyDescent="0.25">
      <c r="C96" s="5" t="s">
        <v>32</v>
      </c>
      <c r="D96" s="5" t="s">
        <v>17</v>
      </c>
      <c r="F96" s="5" t="str">
        <f t="shared" si="1"/>
        <v>TRUE</v>
      </c>
    </row>
    <row r="97" spans="3:6" x14ac:dyDescent="0.25">
      <c r="C97" s="2" t="s">
        <v>27</v>
      </c>
      <c r="D97" s="2" t="s">
        <v>17</v>
      </c>
      <c r="F97" s="2" t="str">
        <f t="shared" si="1"/>
        <v>FALSE</v>
      </c>
    </row>
    <row r="98" spans="3:6" x14ac:dyDescent="0.25">
      <c r="C98" s="5" t="s">
        <v>16</v>
      </c>
      <c r="D98" s="5" t="s">
        <v>33</v>
      </c>
      <c r="F98" s="5" t="str">
        <f t="shared" si="1"/>
        <v>FALSE</v>
      </c>
    </row>
    <row r="99" spans="3:6" x14ac:dyDescent="0.25">
      <c r="C99" s="2" t="s">
        <v>27</v>
      </c>
      <c r="D99" s="2" t="s">
        <v>17</v>
      </c>
      <c r="F99" s="2" t="str">
        <f t="shared" si="1"/>
        <v>FALSE</v>
      </c>
    </row>
    <row r="100" spans="3:6" x14ac:dyDescent="0.25">
      <c r="C100" s="5" t="s">
        <v>32</v>
      </c>
      <c r="D100" s="5" t="s">
        <v>33</v>
      </c>
      <c r="F100" s="5" t="str">
        <f t="shared" si="1"/>
        <v>FALSE</v>
      </c>
    </row>
    <row r="101" spans="3:6" x14ac:dyDescent="0.25">
      <c r="C101" s="2" t="s">
        <v>21</v>
      </c>
      <c r="D101" s="2" t="s">
        <v>33</v>
      </c>
      <c r="F101" s="2" t="str">
        <f t="shared" si="1"/>
        <v>FALSE</v>
      </c>
    </row>
    <row r="102" spans="3:6" x14ac:dyDescent="0.25">
      <c r="C102" s="5" t="s">
        <v>32</v>
      </c>
      <c r="D102" s="5" t="s">
        <v>33</v>
      </c>
      <c r="F102" s="5" t="str">
        <f t="shared" si="1"/>
        <v>FALSE</v>
      </c>
    </row>
    <row r="103" spans="3:6" x14ac:dyDescent="0.25">
      <c r="C103" s="2" t="s">
        <v>21</v>
      </c>
      <c r="D103" s="2" t="s">
        <v>33</v>
      </c>
      <c r="F103" s="2" t="str">
        <f t="shared" si="1"/>
        <v>FALSE</v>
      </c>
    </row>
    <row r="104" spans="3:6" x14ac:dyDescent="0.25">
      <c r="C104" s="5" t="s">
        <v>16</v>
      </c>
      <c r="D104" s="5" t="s">
        <v>33</v>
      </c>
      <c r="F104" s="5" t="str">
        <f t="shared" si="1"/>
        <v>FALSE</v>
      </c>
    </row>
    <row r="105" spans="3:6" x14ac:dyDescent="0.25">
      <c r="C105" s="2" t="s">
        <v>16</v>
      </c>
      <c r="D105" s="2" t="s">
        <v>33</v>
      </c>
      <c r="F105" s="2" t="str">
        <f t="shared" si="1"/>
        <v>FALSE</v>
      </c>
    </row>
    <row r="106" spans="3:6" x14ac:dyDescent="0.25">
      <c r="C106" s="5" t="s">
        <v>16</v>
      </c>
      <c r="D106" s="5" t="s">
        <v>33</v>
      </c>
      <c r="F106" s="5" t="str">
        <f t="shared" si="1"/>
        <v>FALSE</v>
      </c>
    </row>
    <row r="107" spans="3:6" x14ac:dyDescent="0.25">
      <c r="C107" s="2" t="s">
        <v>27</v>
      </c>
      <c r="D107" s="2" t="s">
        <v>17</v>
      </c>
      <c r="F107" s="2" t="str">
        <f t="shared" si="1"/>
        <v>FALSE</v>
      </c>
    </row>
    <row r="108" spans="3:6" x14ac:dyDescent="0.25">
      <c r="C108" s="5" t="s">
        <v>27</v>
      </c>
      <c r="D108" s="5" t="s">
        <v>33</v>
      </c>
      <c r="F108" s="5" t="str">
        <f t="shared" si="1"/>
        <v>FALSE</v>
      </c>
    </row>
    <row r="109" spans="3:6" x14ac:dyDescent="0.25">
      <c r="C109" s="2" t="s">
        <v>16</v>
      </c>
      <c r="D109" s="2" t="s">
        <v>33</v>
      </c>
      <c r="F109" s="2" t="str">
        <f t="shared" si="1"/>
        <v>FALSE</v>
      </c>
    </row>
    <row r="110" spans="3:6" x14ac:dyDescent="0.25">
      <c r="C110" s="5" t="s">
        <v>16</v>
      </c>
      <c r="D110" s="5" t="s">
        <v>33</v>
      </c>
      <c r="F110" s="5" t="str">
        <f t="shared" si="1"/>
        <v>FALSE</v>
      </c>
    </row>
    <row r="111" spans="3:6" x14ac:dyDescent="0.25">
      <c r="C111" s="2" t="s">
        <v>16</v>
      </c>
      <c r="D111" s="2" t="s">
        <v>33</v>
      </c>
      <c r="F111" s="2" t="str">
        <f t="shared" si="1"/>
        <v>FALSE</v>
      </c>
    </row>
    <row r="112" spans="3:6" x14ac:dyDescent="0.25">
      <c r="C112" s="5" t="s">
        <v>32</v>
      </c>
      <c r="D112" s="5" t="s">
        <v>17</v>
      </c>
      <c r="F112" s="5" t="str">
        <f t="shared" si="1"/>
        <v>TRUE</v>
      </c>
    </row>
    <row r="113" spans="3:6" x14ac:dyDescent="0.25">
      <c r="C113" s="2" t="s">
        <v>21</v>
      </c>
      <c r="D113" s="2" t="s">
        <v>33</v>
      </c>
      <c r="F113" s="2" t="str">
        <f t="shared" si="1"/>
        <v>FALSE</v>
      </c>
    </row>
    <row r="114" spans="3:6" x14ac:dyDescent="0.25">
      <c r="C114" s="5" t="s">
        <v>27</v>
      </c>
      <c r="D114" s="5" t="s">
        <v>33</v>
      </c>
      <c r="F114" s="5" t="str">
        <f t="shared" si="1"/>
        <v>FALSE</v>
      </c>
    </row>
    <row r="115" spans="3:6" x14ac:dyDescent="0.25">
      <c r="C115" s="2" t="s">
        <v>27</v>
      </c>
      <c r="D115" s="2" t="s">
        <v>56</v>
      </c>
      <c r="F115" s="2" t="str">
        <f t="shared" si="1"/>
        <v>FALSE</v>
      </c>
    </row>
    <row r="116" spans="3:6" x14ac:dyDescent="0.25">
      <c r="C116" s="5" t="s">
        <v>16</v>
      </c>
      <c r="D116" s="5" t="s">
        <v>33</v>
      </c>
      <c r="F116" s="5" t="str">
        <f t="shared" si="1"/>
        <v>FALSE</v>
      </c>
    </row>
    <row r="117" spans="3:6" x14ac:dyDescent="0.25">
      <c r="C117" s="2" t="s">
        <v>16</v>
      </c>
      <c r="D117" s="2" t="s">
        <v>33</v>
      </c>
      <c r="F117" s="2" t="str">
        <f t="shared" si="1"/>
        <v>FALSE</v>
      </c>
    </row>
    <row r="118" spans="3:6" x14ac:dyDescent="0.25">
      <c r="C118" s="5" t="s">
        <v>27</v>
      </c>
      <c r="D118" s="5" t="s">
        <v>56</v>
      </c>
      <c r="F118" s="5" t="str">
        <f t="shared" si="1"/>
        <v>FALSE</v>
      </c>
    </row>
    <row r="119" spans="3:6" x14ac:dyDescent="0.25">
      <c r="C119" s="2" t="s">
        <v>21</v>
      </c>
      <c r="D119" s="2" t="s">
        <v>33</v>
      </c>
      <c r="F119" s="2" t="str">
        <f t="shared" si="1"/>
        <v>FALSE</v>
      </c>
    </row>
    <row r="120" spans="3:6" x14ac:dyDescent="0.25">
      <c r="C120" s="5" t="s">
        <v>27</v>
      </c>
      <c r="D120" s="5" t="s">
        <v>33</v>
      </c>
      <c r="F120" s="5" t="str">
        <f t="shared" si="1"/>
        <v>FALSE</v>
      </c>
    </row>
    <row r="121" spans="3:6" x14ac:dyDescent="0.25">
      <c r="C121" s="2" t="s">
        <v>27</v>
      </c>
      <c r="D121" s="2" t="s">
        <v>56</v>
      </c>
      <c r="F121" s="2" t="str">
        <f t="shared" si="1"/>
        <v>FALSE</v>
      </c>
    </row>
    <row r="122" spans="3:6" x14ac:dyDescent="0.25">
      <c r="C122" s="5" t="s">
        <v>16</v>
      </c>
      <c r="D122" s="5" t="s">
        <v>33</v>
      </c>
      <c r="F122" s="5" t="str">
        <f t="shared" si="1"/>
        <v>FALSE</v>
      </c>
    </row>
    <row r="123" spans="3:6" x14ac:dyDescent="0.25">
      <c r="C123" s="2" t="s">
        <v>16</v>
      </c>
      <c r="D123" s="2" t="s">
        <v>17</v>
      </c>
      <c r="F123" s="2" t="str">
        <f t="shared" si="1"/>
        <v>TRUE</v>
      </c>
    </row>
    <row r="124" spans="3:6" x14ac:dyDescent="0.25">
      <c r="C124" s="5" t="s">
        <v>27</v>
      </c>
      <c r="D124" s="5" t="s">
        <v>33</v>
      </c>
      <c r="F124" s="5" t="str">
        <f t="shared" si="1"/>
        <v>FALSE</v>
      </c>
    </row>
    <row r="125" spans="3:6" x14ac:dyDescent="0.25">
      <c r="C125" s="2" t="s">
        <v>27</v>
      </c>
      <c r="D125" s="2" t="s">
        <v>33</v>
      </c>
      <c r="F125" s="2" t="str">
        <f t="shared" si="1"/>
        <v>FALSE</v>
      </c>
    </row>
    <row r="126" spans="3:6" x14ac:dyDescent="0.25">
      <c r="C126" s="5" t="s">
        <v>27</v>
      </c>
      <c r="D126" s="5" t="s">
        <v>17</v>
      </c>
      <c r="F126" s="5" t="str">
        <f t="shared" si="1"/>
        <v>FALSE</v>
      </c>
    </row>
  </sheetData>
  <mergeCells count="1">
    <mergeCell ref="C2:N4"/>
  </mergeCells>
  <conditionalFormatting sqref="F7:F126">
    <cfRule type="cellIs" dxfId="3" priority="1" operator="equal">
      <formula>$F$7</formula>
    </cfRule>
    <cfRule type="cellIs" dxfId="2" priority="2" operator="equal">
      <formula>$F$119</formula>
    </cfRule>
    <cfRule type="cellIs" dxfId="1" priority="3" operator="equal">
      <formula>FALSE</formula>
    </cfRule>
    <cfRule type="cellIs" dxfId="0" priority="4" operator="equal">
      <formula>FALSE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C3A9-09A9-4450-9F61-00DAEE6664A6}">
  <dimension ref="C2:M128"/>
  <sheetViews>
    <sheetView topLeftCell="F1" workbookViewId="0">
      <selection activeCell="J12" sqref="J12"/>
    </sheetView>
  </sheetViews>
  <sheetFormatPr defaultRowHeight="15" x14ac:dyDescent="0.25"/>
  <cols>
    <col min="3" max="3" width="12.5703125" bestFit="1" customWidth="1"/>
    <col min="4" max="4" width="10.5703125" bestFit="1" customWidth="1"/>
    <col min="5" max="5" width="14.28515625" bestFit="1" customWidth="1"/>
    <col min="7" max="7" width="13.85546875" bestFit="1" customWidth="1"/>
    <col min="9" max="10" width="20.85546875" bestFit="1" customWidth="1"/>
  </cols>
  <sheetData>
    <row r="2" spans="3:13" x14ac:dyDescent="0.25">
      <c r="C2" s="28" t="s">
        <v>195</v>
      </c>
      <c r="D2" s="28"/>
      <c r="E2" s="28"/>
      <c r="F2" s="28"/>
      <c r="I2" s="30" t="s">
        <v>197</v>
      </c>
      <c r="J2" s="30"/>
      <c r="K2" s="30"/>
      <c r="L2" s="30"/>
      <c r="M2" s="30"/>
    </row>
    <row r="3" spans="3:13" x14ac:dyDescent="0.25">
      <c r="C3" s="28"/>
      <c r="D3" s="28"/>
      <c r="E3" s="28"/>
      <c r="F3" s="28"/>
      <c r="I3" s="30"/>
      <c r="J3" s="30"/>
      <c r="K3" s="30"/>
      <c r="L3" s="30"/>
      <c r="M3" s="30"/>
    </row>
    <row r="4" spans="3:13" x14ac:dyDescent="0.25">
      <c r="C4" s="28"/>
      <c r="D4" s="28"/>
      <c r="E4" s="28"/>
      <c r="F4" s="28"/>
      <c r="I4" s="30"/>
      <c r="J4" s="30"/>
      <c r="K4" s="30"/>
      <c r="L4" s="30"/>
      <c r="M4" s="30"/>
    </row>
    <row r="5" spans="3:13" x14ac:dyDescent="0.25">
      <c r="C5" s="28"/>
      <c r="D5" s="28"/>
      <c r="E5" s="28"/>
      <c r="F5" s="28"/>
      <c r="I5" s="30"/>
      <c r="J5" s="30"/>
      <c r="K5" s="30"/>
      <c r="L5" s="30"/>
      <c r="M5" s="30"/>
    </row>
    <row r="6" spans="3:13" x14ac:dyDescent="0.25">
      <c r="C6" s="28"/>
      <c r="D6" s="28"/>
      <c r="E6" s="28"/>
      <c r="F6" s="28"/>
    </row>
    <row r="7" spans="3:13" x14ac:dyDescent="0.25">
      <c r="I7" s="1" t="s">
        <v>2</v>
      </c>
      <c r="J7" s="1" t="s">
        <v>9</v>
      </c>
    </row>
    <row r="8" spans="3:13" x14ac:dyDescent="0.25">
      <c r="C8" s="1" t="s">
        <v>3</v>
      </c>
      <c r="D8" s="1" t="s">
        <v>5</v>
      </c>
      <c r="E8" s="1" t="s">
        <v>6</v>
      </c>
      <c r="G8" s="29" t="s">
        <v>196</v>
      </c>
      <c r="I8" s="2" t="s">
        <v>12</v>
      </c>
      <c r="J8" s="2" t="s">
        <v>17</v>
      </c>
      <c r="L8" s="29" t="s">
        <v>198</v>
      </c>
    </row>
    <row r="9" spans="3:13" x14ac:dyDescent="0.25">
      <c r="C9" s="2" t="s">
        <v>13</v>
      </c>
      <c r="D9" s="2" t="s">
        <v>15</v>
      </c>
      <c r="E9" s="3">
        <v>820.27</v>
      </c>
      <c r="G9">
        <f>SUMIFS(E9:E128,D9:D128,"Apparel",C9:C128,"International")</f>
        <v>48589.31</v>
      </c>
      <c r="I9" s="5" t="s">
        <v>12</v>
      </c>
      <c r="J9" s="5" t="s">
        <v>17</v>
      </c>
      <c r="L9">
        <f>COUNTIFS(I8:I127,"Emma Davis",J8:J127,"Completed")</f>
        <v>6</v>
      </c>
    </row>
    <row r="10" spans="3:13" x14ac:dyDescent="0.25">
      <c r="C10" s="5" t="s">
        <v>19</v>
      </c>
      <c r="D10" s="5" t="s">
        <v>15</v>
      </c>
      <c r="E10" s="6">
        <v>14844.21</v>
      </c>
      <c r="I10" s="2" t="s">
        <v>24</v>
      </c>
      <c r="J10" s="2" t="s">
        <v>17</v>
      </c>
    </row>
    <row r="11" spans="3:13" x14ac:dyDescent="0.25">
      <c r="C11" s="2" t="s">
        <v>25</v>
      </c>
      <c r="D11" s="2" t="s">
        <v>15</v>
      </c>
      <c r="E11" s="3">
        <v>858.09</v>
      </c>
      <c r="I11" s="5" t="s">
        <v>30</v>
      </c>
      <c r="J11" s="5" t="s">
        <v>33</v>
      </c>
    </row>
    <row r="12" spans="3:13" x14ac:dyDescent="0.25">
      <c r="C12" s="5" t="s">
        <v>13</v>
      </c>
      <c r="D12" s="5" t="s">
        <v>31</v>
      </c>
      <c r="E12" s="6">
        <v>20273.88</v>
      </c>
      <c r="I12" s="2" t="s">
        <v>36</v>
      </c>
      <c r="J12" s="2" t="s">
        <v>33</v>
      </c>
    </row>
    <row r="13" spans="3:13" x14ac:dyDescent="0.25">
      <c r="C13" s="2" t="s">
        <v>19</v>
      </c>
      <c r="D13" s="2" t="s">
        <v>37</v>
      </c>
      <c r="E13" s="3">
        <v>23938.880000000001</v>
      </c>
      <c r="I13" s="5" t="s">
        <v>40</v>
      </c>
      <c r="J13" s="5" t="s">
        <v>33</v>
      </c>
    </row>
    <row r="14" spans="3:13" x14ac:dyDescent="0.25">
      <c r="C14" s="5" t="s">
        <v>41</v>
      </c>
      <c r="D14" s="5" t="s">
        <v>43</v>
      </c>
      <c r="E14" s="6">
        <v>15172.41</v>
      </c>
      <c r="I14" s="2" t="s">
        <v>46</v>
      </c>
      <c r="J14" s="2" t="s">
        <v>33</v>
      </c>
    </row>
    <row r="15" spans="3:13" x14ac:dyDescent="0.25">
      <c r="C15" s="2" t="s">
        <v>25</v>
      </c>
      <c r="D15" s="2" t="s">
        <v>48</v>
      </c>
      <c r="E15" s="3">
        <v>7470.82</v>
      </c>
      <c r="I15" s="5" t="s">
        <v>51</v>
      </c>
      <c r="J15" s="5" t="s">
        <v>33</v>
      </c>
    </row>
    <row r="16" spans="3:13" x14ac:dyDescent="0.25">
      <c r="C16" s="5" t="s">
        <v>19</v>
      </c>
      <c r="D16" s="5" t="s">
        <v>43</v>
      </c>
      <c r="E16" s="6">
        <v>16599.330000000002</v>
      </c>
      <c r="I16" s="2" t="s">
        <v>54</v>
      </c>
      <c r="J16" s="2" t="s">
        <v>33</v>
      </c>
    </row>
    <row r="17" spans="3:10" x14ac:dyDescent="0.25">
      <c r="C17" s="2" t="s">
        <v>13</v>
      </c>
      <c r="D17" s="2" t="s">
        <v>31</v>
      </c>
      <c r="E17" s="3">
        <v>15964.97</v>
      </c>
      <c r="I17" s="5" t="s">
        <v>12</v>
      </c>
      <c r="J17" s="5" t="s">
        <v>56</v>
      </c>
    </row>
    <row r="18" spans="3:10" x14ac:dyDescent="0.25">
      <c r="C18" s="5" t="s">
        <v>25</v>
      </c>
      <c r="D18" s="5" t="s">
        <v>15</v>
      </c>
      <c r="E18" s="6">
        <v>15306.45</v>
      </c>
      <c r="I18" s="2" t="s">
        <v>30</v>
      </c>
      <c r="J18" s="2" t="s">
        <v>33</v>
      </c>
    </row>
    <row r="19" spans="3:10" x14ac:dyDescent="0.25">
      <c r="C19" s="2" t="s">
        <v>25</v>
      </c>
      <c r="D19" s="2" t="s">
        <v>31</v>
      </c>
      <c r="E19" s="3">
        <v>24740.18</v>
      </c>
      <c r="I19" s="5" t="s">
        <v>51</v>
      </c>
      <c r="J19" s="5" t="s">
        <v>33</v>
      </c>
    </row>
    <row r="20" spans="3:10" x14ac:dyDescent="0.25">
      <c r="C20" s="5" t="s">
        <v>59</v>
      </c>
      <c r="D20" s="5" t="s">
        <v>15</v>
      </c>
      <c r="E20" s="6">
        <v>20165.14</v>
      </c>
      <c r="I20" s="2" t="s">
        <v>54</v>
      </c>
      <c r="J20" s="2" t="s">
        <v>33</v>
      </c>
    </row>
    <row r="21" spans="3:10" x14ac:dyDescent="0.25">
      <c r="C21" s="2" t="s">
        <v>41</v>
      </c>
      <c r="D21" s="2" t="s">
        <v>31</v>
      </c>
      <c r="E21" s="3">
        <v>10011.67</v>
      </c>
      <c r="I21" s="5" t="s">
        <v>46</v>
      </c>
      <c r="J21" s="5" t="s">
        <v>33</v>
      </c>
    </row>
    <row r="22" spans="3:10" x14ac:dyDescent="0.25">
      <c r="C22" s="5" t="s">
        <v>41</v>
      </c>
      <c r="D22" s="5" t="s">
        <v>37</v>
      </c>
      <c r="E22" s="6">
        <v>13566.64</v>
      </c>
      <c r="I22" s="2" t="s">
        <v>66</v>
      </c>
      <c r="J22" s="2" t="s">
        <v>56</v>
      </c>
    </row>
    <row r="23" spans="3:10" x14ac:dyDescent="0.25">
      <c r="C23" s="2" t="s">
        <v>19</v>
      </c>
      <c r="D23" s="2" t="s">
        <v>15</v>
      </c>
      <c r="E23" s="3">
        <v>12836.25</v>
      </c>
      <c r="I23" s="5" t="s">
        <v>24</v>
      </c>
      <c r="J23" s="5" t="s">
        <v>17</v>
      </c>
    </row>
    <row r="24" spans="3:10" x14ac:dyDescent="0.25">
      <c r="C24" s="5" t="s">
        <v>25</v>
      </c>
      <c r="D24" s="5" t="s">
        <v>48</v>
      </c>
      <c r="E24" s="6">
        <v>1775.49</v>
      </c>
      <c r="I24" s="2" t="s">
        <v>51</v>
      </c>
      <c r="J24" s="2" t="s">
        <v>33</v>
      </c>
    </row>
    <row r="25" spans="3:10" x14ac:dyDescent="0.25">
      <c r="C25" s="2" t="s">
        <v>25</v>
      </c>
      <c r="D25" s="2" t="s">
        <v>31</v>
      </c>
      <c r="E25" s="3">
        <v>17071.03</v>
      </c>
      <c r="I25" s="5" t="s">
        <v>74</v>
      </c>
      <c r="J25" s="5" t="s">
        <v>33</v>
      </c>
    </row>
    <row r="26" spans="3:10" x14ac:dyDescent="0.25">
      <c r="C26" s="5" t="s">
        <v>59</v>
      </c>
      <c r="D26" s="5" t="s">
        <v>15</v>
      </c>
      <c r="E26" s="6">
        <v>4122.3100000000004</v>
      </c>
      <c r="I26" s="2" t="s">
        <v>46</v>
      </c>
      <c r="J26" s="2" t="s">
        <v>17</v>
      </c>
    </row>
    <row r="27" spans="3:10" x14ac:dyDescent="0.25">
      <c r="C27" s="2" t="s">
        <v>59</v>
      </c>
      <c r="D27" s="2" t="s">
        <v>48</v>
      </c>
      <c r="E27" s="3">
        <v>0</v>
      </c>
      <c r="I27" s="5" t="s">
        <v>40</v>
      </c>
      <c r="J27" s="5" t="s">
        <v>33</v>
      </c>
    </row>
    <row r="28" spans="3:10" x14ac:dyDescent="0.25">
      <c r="C28" s="5" t="s">
        <v>59</v>
      </c>
      <c r="D28" s="5" t="s">
        <v>15</v>
      </c>
      <c r="E28" s="6">
        <v>12317.42</v>
      </c>
      <c r="I28" s="2" t="s">
        <v>24</v>
      </c>
      <c r="J28" s="2" t="s">
        <v>33</v>
      </c>
    </row>
    <row r="29" spans="3:10" x14ac:dyDescent="0.25">
      <c r="C29" s="2" t="s">
        <v>41</v>
      </c>
      <c r="D29" s="2" t="s">
        <v>48</v>
      </c>
      <c r="E29" s="3">
        <v>23684.35</v>
      </c>
      <c r="I29" s="5" t="s">
        <v>54</v>
      </c>
      <c r="J29" s="5" t="s">
        <v>33</v>
      </c>
    </row>
    <row r="30" spans="3:10" x14ac:dyDescent="0.25">
      <c r="C30" s="5" t="s">
        <v>59</v>
      </c>
      <c r="D30" s="5" t="s">
        <v>48</v>
      </c>
      <c r="E30" s="6">
        <v>23681.85</v>
      </c>
      <c r="I30" s="2" t="s">
        <v>46</v>
      </c>
      <c r="J30" s="2" t="s">
        <v>56</v>
      </c>
    </row>
    <row r="31" spans="3:10" x14ac:dyDescent="0.25">
      <c r="C31" s="2" t="s">
        <v>13</v>
      </c>
      <c r="D31" s="2" t="s">
        <v>37</v>
      </c>
      <c r="E31" s="3">
        <v>18930.580000000002</v>
      </c>
      <c r="I31" s="5" t="s">
        <v>46</v>
      </c>
      <c r="J31" s="5" t="s">
        <v>17</v>
      </c>
    </row>
    <row r="32" spans="3:10" x14ac:dyDescent="0.25">
      <c r="C32" s="5" t="s">
        <v>13</v>
      </c>
      <c r="D32" s="5" t="s">
        <v>31</v>
      </c>
      <c r="E32" s="6">
        <v>11396.86</v>
      </c>
      <c r="I32" s="2" t="s">
        <v>46</v>
      </c>
      <c r="J32" s="2" t="s">
        <v>33</v>
      </c>
    </row>
    <row r="33" spans="3:10" x14ac:dyDescent="0.25">
      <c r="C33" s="2" t="s">
        <v>19</v>
      </c>
      <c r="D33" s="2" t="s">
        <v>43</v>
      </c>
      <c r="E33" s="3">
        <v>5906.85</v>
      </c>
      <c r="I33" s="5" t="s">
        <v>51</v>
      </c>
      <c r="J33" s="5" t="s">
        <v>33</v>
      </c>
    </row>
    <row r="34" spans="3:10" x14ac:dyDescent="0.25">
      <c r="C34" s="5" t="s">
        <v>25</v>
      </c>
      <c r="D34" s="5" t="s">
        <v>31</v>
      </c>
      <c r="E34" s="6">
        <v>21518.959999999999</v>
      </c>
      <c r="I34" s="2" t="s">
        <v>46</v>
      </c>
      <c r="J34" s="2" t="s">
        <v>56</v>
      </c>
    </row>
    <row r="35" spans="3:10" x14ac:dyDescent="0.25">
      <c r="C35" s="2" t="s">
        <v>25</v>
      </c>
      <c r="D35" s="2" t="s">
        <v>15</v>
      </c>
      <c r="E35" s="3">
        <v>3481.33</v>
      </c>
      <c r="I35" s="5" t="s">
        <v>36</v>
      </c>
      <c r="J35" s="5" t="s">
        <v>56</v>
      </c>
    </row>
    <row r="36" spans="3:10" x14ac:dyDescent="0.25">
      <c r="C36" s="5" t="s">
        <v>41</v>
      </c>
      <c r="D36" s="5" t="s">
        <v>37</v>
      </c>
      <c r="E36" s="6">
        <v>2539.2800000000002</v>
      </c>
      <c r="I36" s="2" t="s">
        <v>51</v>
      </c>
      <c r="J36" s="2" t="s">
        <v>33</v>
      </c>
    </row>
    <row r="37" spans="3:10" x14ac:dyDescent="0.25">
      <c r="C37" s="2" t="s">
        <v>19</v>
      </c>
      <c r="D37" s="2" t="s">
        <v>37</v>
      </c>
      <c r="E37" s="3">
        <v>16899.439999999999</v>
      </c>
      <c r="I37" s="5" t="s">
        <v>36</v>
      </c>
      <c r="J37" s="5" t="s">
        <v>33</v>
      </c>
    </row>
    <row r="38" spans="3:10" x14ac:dyDescent="0.25">
      <c r="C38" s="5" t="s">
        <v>41</v>
      </c>
      <c r="D38" s="5" t="s">
        <v>37</v>
      </c>
      <c r="E38" s="6">
        <v>4951.43</v>
      </c>
      <c r="I38" s="2" t="s">
        <v>54</v>
      </c>
      <c r="J38" s="2" t="s">
        <v>17</v>
      </c>
    </row>
    <row r="39" spans="3:10" x14ac:dyDescent="0.25">
      <c r="C39" s="2" t="s">
        <v>41</v>
      </c>
      <c r="D39" s="2" t="s">
        <v>43</v>
      </c>
      <c r="E39" s="3">
        <v>6395.2</v>
      </c>
      <c r="I39" s="5" t="s">
        <v>51</v>
      </c>
      <c r="J39" s="5" t="s">
        <v>33</v>
      </c>
    </row>
    <row r="40" spans="3:10" x14ac:dyDescent="0.25">
      <c r="C40" s="5" t="s">
        <v>13</v>
      </c>
      <c r="D40" s="5" t="s">
        <v>37</v>
      </c>
      <c r="E40" s="6">
        <v>24231.11</v>
      </c>
      <c r="I40" s="2" t="s">
        <v>74</v>
      </c>
      <c r="J40" s="2" t="s">
        <v>56</v>
      </c>
    </row>
    <row r="41" spans="3:10" x14ac:dyDescent="0.25">
      <c r="C41" s="2" t="s">
        <v>41</v>
      </c>
      <c r="D41" s="2" t="s">
        <v>37</v>
      </c>
      <c r="E41" s="3">
        <v>22580.58</v>
      </c>
      <c r="I41" s="5" t="s">
        <v>30</v>
      </c>
      <c r="J41" s="5" t="s">
        <v>33</v>
      </c>
    </row>
    <row r="42" spans="3:10" x14ac:dyDescent="0.25">
      <c r="C42" s="5" t="s">
        <v>41</v>
      </c>
      <c r="D42" s="5" t="s">
        <v>15</v>
      </c>
      <c r="E42" s="6">
        <v>10690.59</v>
      </c>
      <c r="I42" s="2" t="s">
        <v>51</v>
      </c>
      <c r="J42" s="2" t="s">
        <v>17</v>
      </c>
    </row>
    <row r="43" spans="3:10" x14ac:dyDescent="0.25">
      <c r="C43" s="2" t="s">
        <v>19</v>
      </c>
      <c r="D43" s="2" t="s">
        <v>43</v>
      </c>
      <c r="E43" s="3">
        <v>14563.67</v>
      </c>
      <c r="I43" s="5" t="s">
        <v>54</v>
      </c>
      <c r="J43" s="5" t="s">
        <v>33</v>
      </c>
    </row>
    <row r="44" spans="3:10" x14ac:dyDescent="0.25">
      <c r="C44" s="5" t="s">
        <v>13</v>
      </c>
      <c r="D44" s="5" t="s">
        <v>48</v>
      </c>
      <c r="E44" s="6">
        <v>12670.69</v>
      </c>
      <c r="I44" s="2" t="s">
        <v>12</v>
      </c>
      <c r="J44" s="2" t="s">
        <v>17</v>
      </c>
    </row>
    <row r="45" spans="3:10" x14ac:dyDescent="0.25">
      <c r="C45" s="2" t="s">
        <v>13</v>
      </c>
      <c r="D45" s="2" t="s">
        <v>43</v>
      </c>
      <c r="E45" s="3">
        <v>14956.87</v>
      </c>
      <c r="I45" s="5" t="s">
        <v>24</v>
      </c>
      <c r="J45" s="5" t="s">
        <v>33</v>
      </c>
    </row>
    <row r="46" spans="3:10" x14ac:dyDescent="0.25">
      <c r="C46" s="5" t="s">
        <v>41</v>
      </c>
      <c r="D46" s="5" t="s">
        <v>48</v>
      </c>
      <c r="E46" s="6">
        <v>1185.5899999999999</v>
      </c>
      <c r="I46" s="2" t="s">
        <v>36</v>
      </c>
      <c r="J46" s="2" t="s">
        <v>33</v>
      </c>
    </row>
    <row r="47" spans="3:10" x14ac:dyDescent="0.25">
      <c r="C47" s="2" t="s">
        <v>13</v>
      </c>
      <c r="D47" s="2" t="s">
        <v>37</v>
      </c>
      <c r="E47" s="3">
        <v>0</v>
      </c>
      <c r="I47" s="5" t="s">
        <v>54</v>
      </c>
      <c r="J47" s="5" t="s">
        <v>33</v>
      </c>
    </row>
    <row r="48" spans="3:10" x14ac:dyDescent="0.25">
      <c r="C48" s="5" t="s">
        <v>19</v>
      </c>
      <c r="D48" s="5" t="s">
        <v>48</v>
      </c>
      <c r="E48" s="6">
        <v>8041.19</v>
      </c>
      <c r="I48" s="2" t="s">
        <v>46</v>
      </c>
      <c r="J48" s="2" t="s">
        <v>33</v>
      </c>
    </row>
    <row r="49" spans="3:10" x14ac:dyDescent="0.25">
      <c r="C49" s="2" t="s">
        <v>13</v>
      </c>
      <c r="D49" s="2" t="s">
        <v>43</v>
      </c>
      <c r="E49" s="3">
        <v>5486.23</v>
      </c>
      <c r="I49" s="5" t="s">
        <v>30</v>
      </c>
      <c r="J49" s="5" t="s">
        <v>17</v>
      </c>
    </row>
    <row r="50" spans="3:10" x14ac:dyDescent="0.25">
      <c r="C50" s="5" t="s">
        <v>59</v>
      </c>
      <c r="D50" s="5" t="s">
        <v>48</v>
      </c>
      <c r="E50" s="6">
        <v>4112.12</v>
      </c>
      <c r="I50" s="2" t="s">
        <v>30</v>
      </c>
      <c r="J50" s="2" t="s">
        <v>17</v>
      </c>
    </row>
    <row r="51" spans="3:10" x14ac:dyDescent="0.25">
      <c r="C51" s="2" t="s">
        <v>13</v>
      </c>
      <c r="D51" s="2" t="s">
        <v>43</v>
      </c>
      <c r="E51" s="3">
        <v>23307.55</v>
      </c>
      <c r="I51" s="5" t="s">
        <v>66</v>
      </c>
      <c r="J51" s="5" t="s">
        <v>17</v>
      </c>
    </row>
    <row r="52" spans="3:10" x14ac:dyDescent="0.25">
      <c r="C52" s="5" t="s">
        <v>13</v>
      </c>
      <c r="D52" s="5" t="s">
        <v>15</v>
      </c>
      <c r="E52" s="6">
        <v>6954.24</v>
      </c>
      <c r="I52" s="2" t="s">
        <v>54</v>
      </c>
      <c r="J52" s="2" t="s">
        <v>33</v>
      </c>
    </row>
    <row r="53" spans="3:10" x14ac:dyDescent="0.25">
      <c r="C53" s="2" t="s">
        <v>19</v>
      </c>
      <c r="D53" s="2" t="s">
        <v>31</v>
      </c>
      <c r="E53" s="3">
        <v>6427.81</v>
      </c>
      <c r="I53" s="5" t="s">
        <v>40</v>
      </c>
      <c r="J53" s="5" t="s">
        <v>17</v>
      </c>
    </row>
    <row r="54" spans="3:10" x14ac:dyDescent="0.25">
      <c r="C54" s="5" t="s">
        <v>59</v>
      </c>
      <c r="D54" s="5" t="s">
        <v>37</v>
      </c>
      <c r="E54" s="6">
        <v>19323.759999999998</v>
      </c>
      <c r="I54" s="2" t="s">
        <v>51</v>
      </c>
      <c r="J54" s="2" t="s">
        <v>17</v>
      </c>
    </row>
    <row r="55" spans="3:10" x14ac:dyDescent="0.25">
      <c r="C55" s="2" t="s">
        <v>13</v>
      </c>
      <c r="D55" s="2" t="s">
        <v>43</v>
      </c>
      <c r="E55" s="3">
        <v>2974.47</v>
      </c>
      <c r="I55" s="5" t="s">
        <v>46</v>
      </c>
      <c r="J55" s="5" t="s">
        <v>33</v>
      </c>
    </row>
    <row r="56" spans="3:10" x14ac:dyDescent="0.25">
      <c r="C56" s="5" t="s">
        <v>19</v>
      </c>
      <c r="D56" s="5" t="s">
        <v>31</v>
      </c>
      <c r="E56" s="6">
        <v>3872.73</v>
      </c>
      <c r="I56" s="2" t="s">
        <v>36</v>
      </c>
      <c r="J56" s="2" t="s">
        <v>17</v>
      </c>
    </row>
    <row r="57" spans="3:10" x14ac:dyDescent="0.25">
      <c r="C57" s="2" t="s">
        <v>19</v>
      </c>
      <c r="D57" s="2" t="s">
        <v>48</v>
      </c>
      <c r="E57" s="3">
        <v>17115.25</v>
      </c>
      <c r="I57" s="5" t="s">
        <v>66</v>
      </c>
      <c r="J57" s="5" t="s">
        <v>33</v>
      </c>
    </row>
    <row r="58" spans="3:10" x14ac:dyDescent="0.25">
      <c r="C58" s="5" t="s">
        <v>13</v>
      </c>
      <c r="D58" s="5" t="s">
        <v>37</v>
      </c>
      <c r="E58" s="6">
        <v>23158.94</v>
      </c>
      <c r="I58" s="2" t="s">
        <v>40</v>
      </c>
      <c r="J58" s="2" t="s">
        <v>56</v>
      </c>
    </row>
    <row r="59" spans="3:10" x14ac:dyDescent="0.25">
      <c r="C59" s="2" t="s">
        <v>13</v>
      </c>
      <c r="D59" s="2" t="s">
        <v>15</v>
      </c>
      <c r="E59" s="3">
        <v>19603.189999999999</v>
      </c>
      <c r="I59" s="5" t="s">
        <v>51</v>
      </c>
      <c r="J59" s="5" t="s">
        <v>33</v>
      </c>
    </row>
    <row r="60" spans="3:10" x14ac:dyDescent="0.25">
      <c r="C60" s="5" t="s">
        <v>13</v>
      </c>
      <c r="D60" s="5" t="s">
        <v>31</v>
      </c>
      <c r="E60" s="6">
        <v>21493.11</v>
      </c>
      <c r="I60" s="2" t="s">
        <v>36</v>
      </c>
      <c r="J60" s="2" t="s">
        <v>33</v>
      </c>
    </row>
    <row r="61" spans="3:10" x14ac:dyDescent="0.25">
      <c r="C61" s="2" t="s">
        <v>41</v>
      </c>
      <c r="D61" s="2" t="s">
        <v>31</v>
      </c>
      <c r="E61" s="3">
        <v>786.88</v>
      </c>
      <c r="I61" s="5" t="s">
        <v>40</v>
      </c>
      <c r="J61" s="5" t="s">
        <v>33</v>
      </c>
    </row>
    <row r="62" spans="3:10" x14ac:dyDescent="0.25">
      <c r="C62" s="5" t="s">
        <v>25</v>
      </c>
      <c r="D62" s="5" t="s">
        <v>43</v>
      </c>
      <c r="E62" s="6">
        <v>16108.75</v>
      </c>
      <c r="I62" s="2" t="s">
        <v>66</v>
      </c>
      <c r="J62" s="2" t="s">
        <v>33</v>
      </c>
    </row>
    <row r="63" spans="3:10" x14ac:dyDescent="0.25">
      <c r="C63" s="2" t="s">
        <v>19</v>
      </c>
      <c r="D63" s="2" t="s">
        <v>48</v>
      </c>
      <c r="E63" s="3">
        <v>14598.63</v>
      </c>
      <c r="I63" s="5" t="s">
        <v>40</v>
      </c>
      <c r="J63" s="5" t="s">
        <v>33</v>
      </c>
    </row>
    <row r="64" spans="3:10" x14ac:dyDescent="0.25">
      <c r="C64" s="5" t="s">
        <v>19</v>
      </c>
      <c r="D64" s="5" t="s">
        <v>48</v>
      </c>
      <c r="E64" s="6">
        <v>11022.57</v>
      </c>
      <c r="I64" s="2" t="s">
        <v>51</v>
      </c>
      <c r="J64" s="2" t="s">
        <v>56</v>
      </c>
    </row>
    <row r="65" spans="3:10" x14ac:dyDescent="0.25">
      <c r="C65" s="2" t="s">
        <v>25</v>
      </c>
      <c r="D65" s="2" t="s">
        <v>15</v>
      </c>
      <c r="E65" s="3">
        <v>17777.88</v>
      </c>
      <c r="I65" s="5" t="s">
        <v>12</v>
      </c>
      <c r="J65" s="5" t="s">
        <v>17</v>
      </c>
    </row>
    <row r="66" spans="3:10" x14ac:dyDescent="0.25">
      <c r="C66" s="5" t="s">
        <v>25</v>
      </c>
      <c r="D66" s="5" t="s">
        <v>43</v>
      </c>
      <c r="E66" s="6">
        <v>23732.09</v>
      </c>
      <c r="I66" s="2" t="s">
        <v>30</v>
      </c>
      <c r="J66" s="2" t="s">
        <v>33</v>
      </c>
    </row>
    <row r="67" spans="3:10" x14ac:dyDescent="0.25">
      <c r="C67" s="2" t="s">
        <v>41</v>
      </c>
      <c r="D67" s="2" t="s">
        <v>48</v>
      </c>
      <c r="E67" s="3">
        <v>0</v>
      </c>
      <c r="I67" s="5" t="s">
        <v>74</v>
      </c>
      <c r="J67" s="5" t="s">
        <v>56</v>
      </c>
    </row>
    <row r="68" spans="3:10" x14ac:dyDescent="0.25">
      <c r="C68" s="5" t="s">
        <v>13</v>
      </c>
      <c r="D68" s="5" t="s">
        <v>48</v>
      </c>
      <c r="E68" s="6">
        <v>16690.25</v>
      </c>
      <c r="I68" s="2" t="s">
        <v>46</v>
      </c>
      <c r="J68" s="2" t="s">
        <v>56</v>
      </c>
    </row>
    <row r="69" spans="3:10" x14ac:dyDescent="0.25">
      <c r="C69" s="2" t="s">
        <v>59</v>
      </c>
      <c r="D69" s="2" t="s">
        <v>37</v>
      </c>
      <c r="E69" s="3">
        <v>20876.38</v>
      </c>
      <c r="I69" s="5" t="s">
        <v>54</v>
      </c>
      <c r="J69" s="5" t="s">
        <v>33</v>
      </c>
    </row>
    <row r="70" spans="3:10" x14ac:dyDescent="0.25">
      <c r="C70" s="5" t="s">
        <v>25</v>
      </c>
      <c r="D70" s="5" t="s">
        <v>15</v>
      </c>
      <c r="E70" s="6">
        <v>11165.56</v>
      </c>
      <c r="I70" s="2" t="s">
        <v>46</v>
      </c>
      <c r="J70" s="2" t="s">
        <v>33</v>
      </c>
    </row>
    <row r="71" spans="3:10" x14ac:dyDescent="0.25">
      <c r="C71" s="2" t="s">
        <v>59</v>
      </c>
      <c r="D71" s="2" t="s">
        <v>15</v>
      </c>
      <c r="E71" s="3">
        <v>16663.580000000002</v>
      </c>
      <c r="I71" s="5" t="s">
        <v>36</v>
      </c>
      <c r="J71" s="5" t="s">
        <v>56</v>
      </c>
    </row>
    <row r="72" spans="3:10" x14ac:dyDescent="0.25">
      <c r="C72" s="5" t="s">
        <v>13</v>
      </c>
      <c r="D72" s="5" t="s">
        <v>48</v>
      </c>
      <c r="E72" s="6">
        <v>3854.38</v>
      </c>
      <c r="I72" s="2" t="s">
        <v>74</v>
      </c>
      <c r="J72" s="2" t="s">
        <v>33</v>
      </c>
    </row>
    <row r="73" spans="3:10" x14ac:dyDescent="0.25">
      <c r="C73" s="2" t="s">
        <v>13</v>
      </c>
      <c r="D73" s="2" t="s">
        <v>37</v>
      </c>
      <c r="E73" s="3">
        <v>22176.2</v>
      </c>
      <c r="I73" s="5" t="s">
        <v>66</v>
      </c>
      <c r="J73" s="5" t="s">
        <v>17</v>
      </c>
    </row>
    <row r="74" spans="3:10" x14ac:dyDescent="0.25">
      <c r="C74" s="5" t="s">
        <v>19</v>
      </c>
      <c r="D74" s="5" t="s">
        <v>15</v>
      </c>
      <c r="E74" s="6">
        <v>16470.240000000002</v>
      </c>
      <c r="I74" s="2" t="s">
        <v>54</v>
      </c>
      <c r="J74" s="2" t="s">
        <v>17</v>
      </c>
    </row>
    <row r="75" spans="3:10" x14ac:dyDescent="0.25">
      <c r="C75" s="2" t="s">
        <v>19</v>
      </c>
      <c r="D75" s="2" t="s">
        <v>15</v>
      </c>
      <c r="E75" s="3">
        <v>1445.42</v>
      </c>
      <c r="I75" s="5" t="s">
        <v>46</v>
      </c>
      <c r="J75" s="5" t="s">
        <v>33</v>
      </c>
    </row>
    <row r="76" spans="3:10" x14ac:dyDescent="0.25">
      <c r="C76" s="5" t="s">
        <v>25</v>
      </c>
      <c r="D76" s="5" t="s">
        <v>37</v>
      </c>
      <c r="E76" s="6">
        <v>14967.22</v>
      </c>
      <c r="I76" s="2" t="s">
        <v>54</v>
      </c>
      <c r="J76" s="2" t="s">
        <v>33</v>
      </c>
    </row>
    <row r="77" spans="3:10" x14ac:dyDescent="0.25">
      <c r="C77" s="2" t="s">
        <v>59</v>
      </c>
      <c r="D77" s="2" t="s">
        <v>37</v>
      </c>
      <c r="E77" s="3">
        <v>11361.73</v>
      </c>
      <c r="I77" s="5" t="s">
        <v>54</v>
      </c>
      <c r="J77" s="5" t="s">
        <v>17</v>
      </c>
    </row>
    <row r="78" spans="3:10" x14ac:dyDescent="0.25">
      <c r="C78" s="5" t="s">
        <v>13</v>
      </c>
      <c r="D78" s="5" t="s">
        <v>31</v>
      </c>
      <c r="E78" s="6">
        <v>2121.59</v>
      </c>
      <c r="I78" s="2" t="s">
        <v>12</v>
      </c>
      <c r="J78" s="2" t="s">
        <v>56</v>
      </c>
    </row>
    <row r="79" spans="3:10" x14ac:dyDescent="0.25">
      <c r="C79" s="2" t="s">
        <v>41</v>
      </c>
      <c r="D79" s="2" t="s">
        <v>15</v>
      </c>
      <c r="E79" s="3">
        <v>3631.68</v>
      </c>
      <c r="I79" s="5" t="s">
        <v>74</v>
      </c>
      <c r="J79" s="5" t="s">
        <v>56</v>
      </c>
    </row>
    <row r="80" spans="3:10" x14ac:dyDescent="0.25">
      <c r="C80" s="5" t="s">
        <v>41</v>
      </c>
      <c r="D80" s="5" t="s">
        <v>15</v>
      </c>
      <c r="E80" s="6">
        <v>8405.86</v>
      </c>
      <c r="I80" s="2" t="s">
        <v>24</v>
      </c>
      <c r="J80" s="2" t="s">
        <v>33</v>
      </c>
    </row>
    <row r="81" spans="3:10" x14ac:dyDescent="0.25">
      <c r="C81" s="2" t="s">
        <v>25</v>
      </c>
      <c r="D81" s="2" t="s">
        <v>37</v>
      </c>
      <c r="E81" s="3">
        <v>23662.34</v>
      </c>
      <c r="I81" s="5" t="s">
        <v>30</v>
      </c>
      <c r="J81" s="5" t="s">
        <v>56</v>
      </c>
    </row>
    <row r="82" spans="3:10" x14ac:dyDescent="0.25">
      <c r="C82" s="5" t="s">
        <v>25</v>
      </c>
      <c r="D82" s="5" t="s">
        <v>48</v>
      </c>
      <c r="E82" s="6">
        <v>18886.18</v>
      </c>
      <c r="I82" s="2" t="s">
        <v>36</v>
      </c>
      <c r="J82" s="2" t="s">
        <v>33</v>
      </c>
    </row>
    <row r="83" spans="3:10" x14ac:dyDescent="0.25">
      <c r="C83" s="2" t="s">
        <v>19</v>
      </c>
      <c r="D83" s="2" t="s">
        <v>31</v>
      </c>
      <c r="E83" s="3">
        <v>6968.8</v>
      </c>
      <c r="I83" s="5" t="s">
        <v>54</v>
      </c>
      <c r="J83" s="5" t="s">
        <v>33</v>
      </c>
    </row>
    <row r="84" spans="3:10" x14ac:dyDescent="0.25">
      <c r="C84" s="5" t="s">
        <v>25</v>
      </c>
      <c r="D84" s="5" t="s">
        <v>37</v>
      </c>
      <c r="E84" s="6">
        <v>23004.63</v>
      </c>
      <c r="I84" s="2" t="s">
        <v>74</v>
      </c>
      <c r="J84" s="2" t="s">
        <v>33</v>
      </c>
    </row>
    <row r="85" spans="3:10" x14ac:dyDescent="0.25">
      <c r="C85" s="2" t="s">
        <v>13</v>
      </c>
      <c r="D85" s="2" t="s">
        <v>31</v>
      </c>
      <c r="E85" s="3">
        <v>3565.35</v>
      </c>
      <c r="I85" s="5" t="s">
        <v>36</v>
      </c>
      <c r="J85" s="5" t="s">
        <v>33</v>
      </c>
    </row>
    <row r="86" spans="3:10" x14ac:dyDescent="0.25">
      <c r="C86" s="5" t="s">
        <v>41</v>
      </c>
      <c r="D86" s="5" t="s">
        <v>37</v>
      </c>
      <c r="E86" s="6">
        <v>11476.54</v>
      </c>
      <c r="I86" s="2" t="s">
        <v>54</v>
      </c>
      <c r="J86" s="2" t="s">
        <v>33</v>
      </c>
    </row>
    <row r="87" spans="3:10" x14ac:dyDescent="0.25">
      <c r="C87" s="2" t="s">
        <v>19</v>
      </c>
      <c r="D87" s="2" t="s">
        <v>15</v>
      </c>
      <c r="E87" s="3">
        <v>0</v>
      </c>
      <c r="I87" s="5" t="s">
        <v>51</v>
      </c>
      <c r="J87" s="5" t="s">
        <v>33</v>
      </c>
    </row>
    <row r="88" spans="3:10" x14ac:dyDescent="0.25">
      <c r="C88" s="5" t="s">
        <v>19</v>
      </c>
      <c r="D88" s="5" t="s">
        <v>15</v>
      </c>
      <c r="E88" s="6">
        <v>23750.37</v>
      </c>
      <c r="I88" s="2" t="s">
        <v>54</v>
      </c>
      <c r="J88" s="2" t="s">
        <v>33</v>
      </c>
    </row>
    <row r="89" spans="3:10" x14ac:dyDescent="0.25">
      <c r="C89" s="2" t="s">
        <v>13</v>
      </c>
      <c r="D89" s="2" t="s">
        <v>31</v>
      </c>
      <c r="E89" s="3">
        <v>16802.580000000002</v>
      </c>
      <c r="I89" s="5" t="s">
        <v>24</v>
      </c>
      <c r="J89" s="5" t="s">
        <v>33</v>
      </c>
    </row>
    <row r="90" spans="3:10" x14ac:dyDescent="0.25">
      <c r="C90" s="5" t="s">
        <v>13</v>
      </c>
      <c r="D90" s="5" t="s">
        <v>43</v>
      </c>
      <c r="E90" s="6">
        <v>15259.74</v>
      </c>
      <c r="I90" s="2" t="s">
        <v>24</v>
      </c>
      <c r="J90" s="2" t="s">
        <v>33</v>
      </c>
    </row>
    <row r="91" spans="3:10" x14ac:dyDescent="0.25">
      <c r="C91" s="2" t="s">
        <v>41</v>
      </c>
      <c r="D91" s="2" t="s">
        <v>43</v>
      </c>
      <c r="E91" s="3">
        <v>16998.21</v>
      </c>
      <c r="I91" s="5" t="s">
        <v>30</v>
      </c>
      <c r="J91" s="5" t="s">
        <v>17</v>
      </c>
    </row>
    <row r="92" spans="3:10" x14ac:dyDescent="0.25">
      <c r="C92" s="5" t="s">
        <v>19</v>
      </c>
      <c r="D92" s="5" t="s">
        <v>43</v>
      </c>
      <c r="E92" s="6">
        <v>21287.27</v>
      </c>
      <c r="I92" s="2" t="s">
        <v>74</v>
      </c>
      <c r="J92" s="2" t="s">
        <v>56</v>
      </c>
    </row>
    <row r="93" spans="3:10" x14ac:dyDescent="0.25">
      <c r="C93" s="2" t="s">
        <v>25</v>
      </c>
      <c r="D93" s="2" t="s">
        <v>43</v>
      </c>
      <c r="E93" s="3">
        <v>16605.73</v>
      </c>
      <c r="I93" s="5" t="s">
        <v>12</v>
      </c>
      <c r="J93" s="5" t="s">
        <v>17</v>
      </c>
    </row>
    <row r="94" spans="3:10" x14ac:dyDescent="0.25">
      <c r="C94" s="5" t="s">
        <v>41</v>
      </c>
      <c r="D94" s="5" t="s">
        <v>37</v>
      </c>
      <c r="E94" s="6">
        <v>10951.38</v>
      </c>
      <c r="I94" s="2" t="s">
        <v>30</v>
      </c>
      <c r="J94" s="2" t="s">
        <v>33</v>
      </c>
    </row>
    <row r="95" spans="3:10" x14ac:dyDescent="0.25">
      <c r="C95" s="2" t="s">
        <v>41</v>
      </c>
      <c r="D95" s="2" t="s">
        <v>37</v>
      </c>
      <c r="E95" s="3">
        <v>15474.63</v>
      </c>
      <c r="I95" s="5" t="s">
        <v>36</v>
      </c>
      <c r="J95" s="5" t="s">
        <v>17</v>
      </c>
    </row>
    <row r="96" spans="3:10" x14ac:dyDescent="0.25">
      <c r="C96" s="5" t="s">
        <v>59</v>
      </c>
      <c r="D96" s="5" t="s">
        <v>15</v>
      </c>
      <c r="E96" s="6">
        <v>20802.13</v>
      </c>
      <c r="I96" s="2" t="s">
        <v>24</v>
      </c>
      <c r="J96" s="2" t="s">
        <v>56</v>
      </c>
    </row>
    <row r="97" spans="3:10" x14ac:dyDescent="0.25">
      <c r="C97" s="2" t="s">
        <v>19</v>
      </c>
      <c r="D97" s="2" t="s">
        <v>31</v>
      </c>
      <c r="E97" s="3">
        <v>16771.07</v>
      </c>
      <c r="I97" s="5" t="s">
        <v>36</v>
      </c>
      <c r="J97" s="5" t="s">
        <v>17</v>
      </c>
    </row>
    <row r="98" spans="3:10" x14ac:dyDescent="0.25">
      <c r="C98" s="5" t="s">
        <v>59</v>
      </c>
      <c r="D98" s="5" t="s">
        <v>48</v>
      </c>
      <c r="E98" s="6">
        <v>8999.66</v>
      </c>
      <c r="I98" s="2" t="s">
        <v>51</v>
      </c>
      <c r="J98" s="2" t="s">
        <v>17</v>
      </c>
    </row>
    <row r="99" spans="3:10" x14ac:dyDescent="0.25">
      <c r="C99" s="2" t="s">
        <v>19</v>
      </c>
      <c r="D99" s="2" t="s">
        <v>37</v>
      </c>
      <c r="E99" s="3">
        <v>13012.36</v>
      </c>
      <c r="I99" s="5" t="s">
        <v>36</v>
      </c>
      <c r="J99" s="5" t="s">
        <v>33</v>
      </c>
    </row>
    <row r="100" spans="3:10" x14ac:dyDescent="0.25">
      <c r="C100" s="5" t="s">
        <v>41</v>
      </c>
      <c r="D100" s="5" t="s">
        <v>43</v>
      </c>
      <c r="E100" s="6">
        <v>17327.11</v>
      </c>
      <c r="I100" s="2" t="s">
        <v>36</v>
      </c>
      <c r="J100" s="2" t="s">
        <v>17</v>
      </c>
    </row>
    <row r="101" spans="3:10" x14ac:dyDescent="0.25">
      <c r="C101" s="2" t="s">
        <v>59</v>
      </c>
      <c r="D101" s="2" t="s">
        <v>31</v>
      </c>
      <c r="E101" s="3">
        <v>10229.15</v>
      </c>
      <c r="I101" s="5" t="s">
        <v>46</v>
      </c>
      <c r="J101" s="5" t="s">
        <v>33</v>
      </c>
    </row>
    <row r="102" spans="3:10" x14ac:dyDescent="0.25">
      <c r="C102" s="5" t="s">
        <v>59</v>
      </c>
      <c r="D102" s="5" t="s">
        <v>37</v>
      </c>
      <c r="E102" s="6">
        <v>8725.18</v>
      </c>
      <c r="I102" s="2" t="s">
        <v>30</v>
      </c>
      <c r="J102" s="2" t="s">
        <v>33</v>
      </c>
    </row>
    <row r="103" spans="3:10" x14ac:dyDescent="0.25">
      <c r="C103" s="2" t="s">
        <v>59</v>
      </c>
      <c r="D103" s="2" t="s">
        <v>48</v>
      </c>
      <c r="E103" s="3">
        <v>5917.34</v>
      </c>
      <c r="I103" s="5" t="s">
        <v>36</v>
      </c>
      <c r="J103" s="5" t="s">
        <v>33</v>
      </c>
    </row>
    <row r="104" spans="3:10" x14ac:dyDescent="0.25">
      <c r="C104" s="5" t="s">
        <v>25</v>
      </c>
      <c r="D104" s="5" t="s">
        <v>48</v>
      </c>
      <c r="E104" s="6">
        <v>18517.400000000001</v>
      </c>
      <c r="I104" s="2" t="s">
        <v>36</v>
      </c>
      <c r="J104" s="2" t="s">
        <v>33</v>
      </c>
    </row>
    <row r="105" spans="3:10" x14ac:dyDescent="0.25">
      <c r="C105" s="2" t="s">
        <v>13</v>
      </c>
      <c r="D105" s="2" t="s">
        <v>43</v>
      </c>
      <c r="E105" s="3">
        <v>7546.91</v>
      </c>
      <c r="I105" s="5" t="s">
        <v>51</v>
      </c>
      <c r="J105" s="5" t="s">
        <v>33</v>
      </c>
    </row>
    <row r="106" spans="3:10" x14ac:dyDescent="0.25">
      <c r="C106" s="5" t="s">
        <v>59</v>
      </c>
      <c r="D106" s="5" t="s">
        <v>37</v>
      </c>
      <c r="E106" s="6">
        <v>24362.51</v>
      </c>
      <c r="I106" s="2" t="s">
        <v>24</v>
      </c>
      <c r="J106" s="2" t="s">
        <v>33</v>
      </c>
    </row>
    <row r="107" spans="3:10" x14ac:dyDescent="0.25">
      <c r="C107" s="2" t="s">
        <v>41</v>
      </c>
      <c r="D107" s="2" t="s">
        <v>15</v>
      </c>
      <c r="E107" s="3">
        <v>0</v>
      </c>
      <c r="I107" s="5" t="s">
        <v>54</v>
      </c>
      <c r="J107" s="5" t="s">
        <v>33</v>
      </c>
    </row>
    <row r="108" spans="3:10" x14ac:dyDescent="0.25">
      <c r="C108" s="5" t="s">
        <v>41</v>
      </c>
      <c r="D108" s="5" t="s">
        <v>43</v>
      </c>
      <c r="E108" s="6">
        <v>3029.36</v>
      </c>
      <c r="I108" s="2" t="s">
        <v>66</v>
      </c>
      <c r="J108" s="2" t="s">
        <v>17</v>
      </c>
    </row>
    <row r="109" spans="3:10" x14ac:dyDescent="0.25">
      <c r="C109" s="2" t="s">
        <v>19</v>
      </c>
      <c r="D109" s="2" t="s">
        <v>43</v>
      </c>
      <c r="E109" s="3">
        <v>20316.32</v>
      </c>
      <c r="I109" s="5" t="s">
        <v>24</v>
      </c>
      <c r="J109" s="5" t="s">
        <v>33</v>
      </c>
    </row>
    <row r="110" spans="3:10" x14ac:dyDescent="0.25">
      <c r="C110" s="5" t="s">
        <v>25</v>
      </c>
      <c r="D110" s="5" t="s">
        <v>37</v>
      </c>
      <c r="E110" s="6">
        <v>19810.37</v>
      </c>
      <c r="I110" s="2" t="s">
        <v>24</v>
      </c>
      <c r="J110" s="2" t="s">
        <v>33</v>
      </c>
    </row>
    <row r="111" spans="3:10" x14ac:dyDescent="0.25">
      <c r="C111" s="2" t="s">
        <v>25</v>
      </c>
      <c r="D111" s="2" t="s">
        <v>43</v>
      </c>
      <c r="E111" s="3">
        <v>24752.78</v>
      </c>
      <c r="I111" s="5" t="s">
        <v>36</v>
      </c>
      <c r="J111" s="5" t="s">
        <v>33</v>
      </c>
    </row>
    <row r="112" spans="3:10" x14ac:dyDescent="0.25">
      <c r="C112" s="5" t="s">
        <v>13</v>
      </c>
      <c r="D112" s="5" t="s">
        <v>15</v>
      </c>
      <c r="E112" s="6">
        <v>6763.22</v>
      </c>
      <c r="I112" s="2" t="s">
        <v>51</v>
      </c>
      <c r="J112" s="2" t="s">
        <v>33</v>
      </c>
    </row>
    <row r="113" spans="3:10" x14ac:dyDescent="0.25">
      <c r="C113" s="2" t="s">
        <v>25</v>
      </c>
      <c r="D113" s="2" t="s">
        <v>31</v>
      </c>
      <c r="E113" s="3">
        <v>10331.24</v>
      </c>
      <c r="I113" s="5" t="s">
        <v>30</v>
      </c>
      <c r="J113" s="5" t="s">
        <v>17</v>
      </c>
    </row>
    <row r="114" spans="3:10" x14ac:dyDescent="0.25">
      <c r="C114" s="5" t="s">
        <v>41</v>
      </c>
      <c r="D114" s="5" t="s">
        <v>15</v>
      </c>
      <c r="E114" s="6">
        <v>17732.5</v>
      </c>
      <c r="I114" s="2" t="s">
        <v>36</v>
      </c>
      <c r="J114" s="2" t="s">
        <v>33</v>
      </c>
    </row>
    <row r="115" spans="3:10" x14ac:dyDescent="0.25">
      <c r="C115" s="2" t="s">
        <v>13</v>
      </c>
      <c r="D115" s="2" t="s">
        <v>31</v>
      </c>
      <c r="E115" s="3">
        <v>10743.45</v>
      </c>
      <c r="I115" s="5" t="s">
        <v>51</v>
      </c>
      <c r="J115" s="5" t="s">
        <v>33</v>
      </c>
    </row>
    <row r="116" spans="3:10" x14ac:dyDescent="0.25">
      <c r="C116" s="5" t="s">
        <v>25</v>
      </c>
      <c r="D116" s="5" t="s">
        <v>31</v>
      </c>
      <c r="E116" s="6">
        <v>4314.8900000000003</v>
      </c>
      <c r="I116" s="2" t="s">
        <v>54</v>
      </c>
      <c r="J116" s="2" t="s">
        <v>56</v>
      </c>
    </row>
    <row r="117" spans="3:10" x14ac:dyDescent="0.25">
      <c r="C117" s="2" t="s">
        <v>41</v>
      </c>
      <c r="D117" s="2" t="s">
        <v>48</v>
      </c>
      <c r="E117" s="3">
        <v>17279.21</v>
      </c>
      <c r="I117" s="5" t="s">
        <v>12</v>
      </c>
      <c r="J117" s="5" t="s">
        <v>33</v>
      </c>
    </row>
    <row r="118" spans="3:10" x14ac:dyDescent="0.25">
      <c r="C118" s="5" t="s">
        <v>59</v>
      </c>
      <c r="D118" s="5" t="s">
        <v>31</v>
      </c>
      <c r="E118" s="6">
        <v>15031.31</v>
      </c>
      <c r="I118" s="2" t="s">
        <v>36</v>
      </c>
      <c r="J118" s="2" t="s">
        <v>33</v>
      </c>
    </row>
    <row r="119" spans="3:10" x14ac:dyDescent="0.25">
      <c r="C119" s="2" t="s">
        <v>25</v>
      </c>
      <c r="D119" s="2" t="s">
        <v>31</v>
      </c>
      <c r="E119" s="3">
        <v>24055.4</v>
      </c>
      <c r="I119" s="5" t="s">
        <v>54</v>
      </c>
      <c r="J119" s="5" t="s">
        <v>56</v>
      </c>
    </row>
    <row r="120" spans="3:10" x14ac:dyDescent="0.25">
      <c r="C120" s="5" t="s">
        <v>59</v>
      </c>
      <c r="D120" s="5" t="s">
        <v>48</v>
      </c>
      <c r="E120" s="6">
        <v>13070.3</v>
      </c>
      <c r="I120" s="2" t="s">
        <v>12</v>
      </c>
      <c r="J120" s="2" t="s">
        <v>33</v>
      </c>
    </row>
    <row r="121" spans="3:10" x14ac:dyDescent="0.25">
      <c r="C121" s="2" t="s">
        <v>59</v>
      </c>
      <c r="D121" s="2" t="s">
        <v>43</v>
      </c>
      <c r="E121" s="3">
        <v>11856.26</v>
      </c>
      <c r="I121" s="5" t="s">
        <v>74</v>
      </c>
      <c r="J121" s="5" t="s">
        <v>33</v>
      </c>
    </row>
    <row r="122" spans="3:10" x14ac:dyDescent="0.25">
      <c r="C122" s="5" t="s">
        <v>41</v>
      </c>
      <c r="D122" s="5" t="s">
        <v>43</v>
      </c>
      <c r="E122" s="6">
        <v>17403.11</v>
      </c>
      <c r="I122" s="2" t="s">
        <v>40</v>
      </c>
      <c r="J122" s="2" t="s">
        <v>56</v>
      </c>
    </row>
    <row r="123" spans="3:10" x14ac:dyDescent="0.25">
      <c r="C123" s="2" t="s">
        <v>41</v>
      </c>
      <c r="D123" s="2" t="s">
        <v>43</v>
      </c>
      <c r="E123" s="3">
        <v>6459.49</v>
      </c>
      <c r="I123" s="5" t="s">
        <v>51</v>
      </c>
      <c r="J123" s="5" t="s">
        <v>33</v>
      </c>
    </row>
    <row r="124" spans="3:10" x14ac:dyDescent="0.25">
      <c r="C124" s="5" t="s">
        <v>25</v>
      </c>
      <c r="D124" s="5" t="s">
        <v>37</v>
      </c>
      <c r="E124" s="6">
        <v>4852.05</v>
      </c>
      <c r="I124" s="2" t="s">
        <v>30</v>
      </c>
      <c r="J124" s="2" t="s">
        <v>17</v>
      </c>
    </row>
    <row r="125" spans="3:10" x14ac:dyDescent="0.25">
      <c r="C125" s="2" t="s">
        <v>41</v>
      </c>
      <c r="D125" s="2" t="s">
        <v>43</v>
      </c>
      <c r="E125" s="3">
        <v>13820.65</v>
      </c>
      <c r="I125" s="5" t="s">
        <v>36</v>
      </c>
      <c r="J125" s="5" t="s">
        <v>33</v>
      </c>
    </row>
    <row r="126" spans="3:10" x14ac:dyDescent="0.25">
      <c r="C126" s="5" t="s">
        <v>25</v>
      </c>
      <c r="D126" s="5" t="s">
        <v>48</v>
      </c>
      <c r="E126" s="6">
        <v>17802.61</v>
      </c>
      <c r="I126" s="2" t="s">
        <v>36</v>
      </c>
      <c r="J126" s="2" t="s">
        <v>33</v>
      </c>
    </row>
    <row r="127" spans="3:10" x14ac:dyDescent="0.25">
      <c r="C127" s="2" t="s">
        <v>41</v>
      </c>
      <c r="D127" s="2" t="s">
        <v>15</v>
      </c>
      <c r="E127" s="3">
        <v>0</v>
      </c>
      <c r="I127" s="5" t="s">
        <v>46</v>
      </c>
      <c r="J127" s="5" t="s">
        <v>17</v>
      </c>
    </row>
    <row r="128" spans="3:10" x14ac:dyDescent="0.25">
      <c r="C128" s="5" t="s">
        <v>41</v>
      </c>
      <c r="D128" s="5" t="s">
        <v>15</v>
      </c>
      <c r="E128" s="6">
        <v>17694.21</v>
      </c>
    </row>
  </sheetData>
  <mergeCells count="2">
    <mergeCell ref="C2:F6"/>
    <mergeCell ref="I2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AB13-2118-4CA8-89F8-2EAC5DF2AA5C}">
  <dimension ref="B1:M126"/>
  <sheetViews>
    <sheetView tabSelected="1" workbookViewId="0">
      <selection activeCell="M14" sqref="M14"/>
    </sheetView>
  </sheetViews>
  <sheetFormatPr defaultRowHeight="15" x14ac:dyDescent="0.25"/>
  <cols>
    <col min="2" max="2" width="10.5703125" bestFit="1" customWidth="1"/>
    <col min="3" max="3" width="14.28515625" bestFit="1" customWidth="1"/>
    <col min="8" max="8" width="10.5703125" bestFit="1" customWidth="1"/>
    <col min="9" max="9" width="14.28515625" bestFit="1" customWidth="1"/>
    <col min="10" max="10" width="20.85546875" bestFit="1" customWidth="1"/>
  </cols>
  <sheetData>
    <row r="1" spans="2:13" x14ac:dyDescent="0.25">
      <c r="B1" s="31"/>
      <c r="C1" s="31"/>
      <c r="D1" s="31"/>
      <c r="E1" s="31"/>
      <c r="F1" s="31"/>
      <c r="G1" s="31"/>
      <c r="H1" s="31"/>
    </row>
    <row r="2" spans="2:13" x14ac:dyDescent="0.25">
      <c r="B2" s="32" t="s">
        <v>199</v>
      </c>
      <c r="C2" s="32"/>
      <c r="D2" s="32"/>
      <c r="E2" s="32"/>
      <c r="F2" s="32"/>
      <c r="G2" s="31"/>
      <c r="H2" s="30" t="s">
        <v>201</v>
      </c>
      <c r="I2" s="30"/>
      <c r="J2" s="30"/>
      <c r="K2" s="30"/>
      <c r="L2" s="30"/>
    </row>
    <row r="3" spans="2:13" x14ac:dyDescent="0.25">
      <c r="B3" s="32"/>
      <c r="C3" s="32"/>
      <c r="D3" s="32"/>
      <c r="E3" s="32"/>
      <c r="F3" s="32"/>
      <c r="G3" s="31"/>
      <c r="H3" s="30"/>
      <c r="I3" s="30"/>
      <c r="J3" s="30"/>
      <c r="K3" s="30"/>
      <c r="L3" s="30"/>
    </row>
    <row r="4" spans="2:13" x14ac:dyDescent="0.25">
      <c r="B4" s="32"/>
      <c r="C4" s="32"/>
      <c r="D4" s="32"/>
      <c r="E4" s="32"/>
      <c r="F4" s="32"/>
      <c r="G4" s="31"/>
      <c r="H4" s="30"/>
      <c r="I4" s="30"/>
      <c r="J4" s="30"/>
      <c r="K4" s="30"/>
      <c r="L4" s="30"/>
    </row>
    <row r="6" spans="2:13" ht="15" customHeight="1" x14ac:dyDescent="0.25">
      <c r="B6" s="1" t="s">
        <v>5</v>
      </c>
      <c r="C6" s="1" t="s">
        <v>6</v>
      </c>
      <c r="H6" s="1" t="s">
        <v>5</v>
      </c>
      <c r="I6" s="1" t="s">
        <v>6</v>
      </c>
      <c r="J6" s="1" t="s">
        <v>9</v>
      </c>
      <c r="L6" s="27" t="s">
        <v>202</v>
      </c>
      <c r="M6" s="27"/>
    </row>
    <row r="7" spans="2:13" ht="15" customHeight="1" x14ac:dyDescent="0.25">
      <c r="B7" s="2" t="s">
        <v>15</v>
      </c>
      <c r="C7" s="3">
        <v>820.27</v>
      </c>
      <c r="E7" s="33" t="s">
        <v>200</v>
      </c>
      <c r="F7" s="33"/>
      <c r="H7" s="2" t="s">
        <v>15</v>
      </c>
      <c r="I7" s="3">
        <v>820.27</v>
      </c>
      <c r="J7" s="2" t="s">
        <v>17</v>
      </c>
      <c r="L7" s="27"/>
      <c r="M7" s="27"/>
    </row>
    <row r="8" spans="2:13" x14ac:dyDescent="0.25">
      <c r="B8" s="5" t="s">
        <v>15</v>
      </c>
      <c r="C8" s="6">
        <v>14844.21</v>
      </c>
      <c r="E8" s="33"/>
      <c r="F8" s="33"/>
      <c r="H8" s="5" t="s">
        <v>15</v>
      </c>
      <c r="I8" s="6">
        <v>14844.21</v>
      </c>
      <c r="J8" s="5" t="s">
        <v>17</v>
      </c>
      <c r="L8" s="27"/>
      <c r="M8" s="27"/>
    </row>
    <row r="9" spans="2:13" x14ac:dyDescent="0.25">
      <c r="B9" s="2" t="s">
        <v>15</v>
      </c>
      <c r="C9" s="3">
        <v>858.09</v>
      </c>
      <c r="E9" s="33"/>
      <c r="F9" s="33"/>
      <c r="H9" s="2" t="s">
        <v>15</v>
      </c>
      <c r="I9" s="3">
        <v>858.09</v>
      </c>
      <c r="J9" s="2" t="s">
        <v>17</v>
      </c>
      <c r="L9" s="27"/>
      <c r="M9" s="27"/>
    </row>
    <row r="10" spans="2:13" x14ac:dyDescent="0.25">
      <c r="B10" s="5" t="s">
        <v>31</v>
      </c>
      <c r="C10" s="6">
        <v>20273.88</v>
      </c>
      <c r="E10" s="34">
        <f>_xlfn.MAXIFS(C7:C126,B7:B126,"Software")</f>
        <v>24362.51</v>
      </c>
      <c r="F10" s="34"/>
      <c r="H10" s="5" t="s">
        <v>31</v>
      </c>
      <c r="I10" s="6">
        <v>20273.88</v>
      </c>
      <c r="J10" s="5" t="s">
        <v>33</v>
      </c>
      <c r="L10" s="35">
        <f>_xlfn.MINIFS(I7:I126,H7:H126,"Furniture",J7:J126,"Completed")</f>
        <v>786.88</v>
      </c>
      <c r="M10" s="35"/>
    </row>
    <row r="11" spans="2:13" x14ac:dyDescent="0.25">
      <c r="B11" s="2" t="s">
        <v>37</v>
      </c>
      <c r="C11" s="3">
        <v>23938.880000000001</v>
      </c>
      <c r="E11" s="34"/>
      <c r="F11" s="34"/>
      <c r="H11" s="2" t="s">
        <v>37</v>
      </c>
      <c r="I11" s="3">
        <v>23938.880000000001</v>
      </c>
      <c r="J11" s="2" t="s">
        <v>33</v>
      </c>
      <c r="L11" s="35"/>
      <c r="M11" s="35"/>
    </row>
    <row r="12" spans="2:13" x14ac:dyDescent="0.25">
      <c r="B12" s="5" t="s">
        <v>43</v>
      </c>
      <c r="C12" s="6">
        <v>15172.41</v>
      </c>
      <c r="H12" s="5" t="s">
        <v>43</v>
      </c>
      <c r="I12" s="6">
        <v>15172.41</v>
      </c>
      <c r="J12" s="5" t="s">
        <v>33</v>
      </c>
      <c r="L12" s="35"/>
      <c r="M12" s="35"/>
    </row>
    <row r="13" spans="2:13" x14ac:dyDescent="0.25">
      <c r="B13" s="2" t="s">
        <v>48</v>
      </c>
      <c r="C13" s="3">
        <v>7470.82</v>
      </c>
      <c r="H13" s="2" t="s">
        <v>48</v>
      </c>
      <c r="I13" s="3">
        <v>7470.82</v>
      </c>
      <c r="J13" s="2" t="s">
        <v>33</v>
      </c>
    </row>
    <row r="14" spans="2:13" x14ac:dyDescent="0.25">
      <c r="B14" s="5" t="s">
        <v>43</v>
      </c>
      <c r="C14" s="6">
        <v>16599.330000000002</v>
      </c>
      <c r="H14" s="5" t="s">
        <v>43</v>
      </c>
      <c r="I14" s="6">
        <v>16599.330000000002</v>
      </c>
      <c r="J14" s="5" t="s">
        <v>33</v>
      </c>
    </row>
    <row r="15" spans="2:13" x14ac:dyDescent="0.25">
      <c r="B15" s="2" t="s">
        <v>31</v>
      </c>
      <c r="C15" s="3">
        <v>15964.97</v>
      </c>
      <c r="H15" s="2" t="s">
        <v>31</v>
      </c>
      <c r="I15" s="3">
        <v>15964.97</v>
      </c>
      <c r="J15" s="2" t="s">
        <v>33</v>
      </c>
    </row>
    <row r="16" spans="2:13" x14ac:dyDescent="0.25">
      <c r="B16" s="5" t="s">
        <v>15</v>
      </c>
      <c r="C16" s="6">
        <v>15306.45</v>
      </c>
      <c r="H16" s="5" t="s">
        <v>15</v>
      </c>
      <c r="I16" s="6">
        <v>15306.45</v>
      </c>
      <c r="J16" s="5" t="s">
        <v>56</v>
      </c>
    </row>
    <row r="17" spans="2:10" x14ac:dyDescent="0.25">
      <c r="B17" s="2" t="s">
        <v>31</v>
      </c>
      <c r="C17" s="3">
        <v>24740.18</v>
      </c>
      <c r="H17" s="2" t="s">
        <v>31</v>
      </c>
      <c r="I17" s="3">
        <v>24740.18</v>
      </c>
      <c r="J17" s="2" t="s">
        <v>33</v>
      </c>
    </row>
    <row r="18" spans="2:10" x14ac:dyDescent="0.25">
      <c r="B18" s="5" t="s">
        <v>15</v>
      </c>
      <c r="C18" s="6">
        <v>20165.14</v>
      </c>
      <c r="H18" s="5" t="s">
        <v>15</v>
      </c>
      <c r="I18" s="6">
        <v>20165.14</v>
      </c>
      <c r="J18" s="5" t="s">
        <v>33</v>
      </c>
    </row>
    <row r="19" spans="2:10" x14ac:dyDescent="0.25">
      <c r="B19" s="2" t="s">
        <v>31</v>
      </c>
      <c r="C19" s="3">
        <v>10011.67</v>
      </c>
      <c r="H19" s="2" t="s">
        <v>31</v>
      </c>
      <c r="I19" s="3">
        <v>10011.67</v>
      </c>
      <c r="J19" s="2" t="s">
        <v>33</v>
      </c>
    </row>
    <row r="20" spans="2:10" x14ac:dyDescent="0.25">
      <c r="B20" s="5" t="s">
        <v>37</v>
      </c>
      <c r="C20" s="6">
        <v>13566.64</v>
      </c>
      <c r="H20" s="5" t="s">
        <v>37</v>
      </c>
      <c r="I20" s="6">
        <v>13566.64</v>
      </c>
      <c r="J20" s="5" t="s">
        <v>33</v>
      </c>
    </row>
    <row r="21" spans="2:10" x14ac:dyDescent="0.25">
      <c r="B21" s="2" t="s">
        <v>15</v>
      </c>
      <c r="C21" s="3">
        <v>12836.25</v>
      </c>
      <c r="H21" s="2" t="s">
        <v>15</v>
      </c>
      <c r="I21" s="3">
        <v>12836.25</v>
      </c>
      <c r="J21" s="2" t="s">
        <v>56</v>
      </c>
    </row>
    <row r="22" spans="2:10" x14ac:dyDescent="0.25">
      <c r="B22" s="5" t="s">
        <v>48</v>
      </c>
      <c r="C22" s="6">
        <v>1775.49</v>
      </c>
      <c r="H22" s="5" t="s">
        <v>48</v>
      </c>
      <c r="I22" s="6">
        <v>1775.49</v>
      </c>
      <c r="J22" s="5" t="s">
        <v>17</v>
      </c>
    </row>
    <row r="23" spans="2:10" x14ac:dyDescent="0.25">
      <c r="B23" s="2" t="s">
        <v>31</v>
      </c>
      <c r="C23" s="3">
        <v>17071.03</v>
      </c>
      <c r="H23" s="2" t="s">
        <v>31</v>
      </c>
      <c r="I23" s="3">
        <v>17071.03</v>
      </c>
      <c r="J23" s="2" t="s">
        <v>33</v>
      </c>
    </row>
    <row r="24" spans="2:10" x14ac:dyDescent="0.25">
      <c r="B24" s="5" t="s">
        <v>15</v>
      </c>
      <c r="C24" s="6">
        <v>4122.3100000000004</v>
      </c>
      <c r="H24" s="5" t="s">
        <v>15</v>
      </c>
      <c r="I24" s="6">
        <v>4122.3100000000004</v>
      </c>
      <c r="J24" s="5" t="s">
        <v>33</v>
      </c>
    </row>
    <row r="25" spans="2:10" x14ac:dyDescent="0.25">
      <c r="B25" s="2" t="s">
        <v>48</v>
      </c>
      <c r="C25" s="3">
        <v>0</v>
      </c>
      <c r="H25" s="2" t="s">
        <v>48</v>
      </c>
      <c r="I25" s="3">
        <v>0</v>
      </c>
      <c r="J25" s="2" t="s">
        <v>17</v>
      </c>
    </row>
    <row r="26" spans="2:10" x14ac:dyDescent="0.25">
      <c r="B26" s="5" t="s">
        <v>15</v>
      </c>
      <c r="C26" s="6">
        <v>12317.42</v>
      </c>
      <c r="H26" s="5" t="s">
        <v>15</v>
      </c>
      <c r="I26" s="6">
        <v>12317.42</v>
      </c>
      <c r="J26" s="5" t="s">
        <v>33</v>
      </c>
    </row>
    <row r="27" spans="2:10" x14ac:dyDescent="0.25">
      <c r="B27" s="2" t="s">
        <v>48</v>
      </c>
      <c r="C27" s="3">
        <v>23684.35</v>
      </c>
      <c r="H27" s="2" t="s">
        <v>48</v>
      </c>
      <c r="I27" s="3">
        <v>23684.35</v>
      </c>
      <c r="J27" s="2" t="s">
        <v>33</v>
      </c>
    </row>
    <row r="28" spans="2:10" x14ac:dyDescent="0.25">
      <c r="B28" s="5" t="s">
        <v>48</v>
      </c>
      <c r="C28" s="6">
        <v>23681.85</v>
      </c>
      <c r="H28" s="5" t="s">
        <v>48</v>
      </c>
      <c r="I28" s="6">
        <v>23681.85</v>
      </c>
      <c r="J28" s="5" t="s">
        <v>33</v>
      </c>
    </row>
    <row r="29" spans="2:10" x14ac:dyDescent="0.25">
      <c r="B29" s="2" t="s">
        <v>37</v>
      </c>
      <c r="C29" s="3">
        <v>18930.580000000002</v>
      </c>
      <c r="H29" s="2" t="s">
        <v>37</v>
      </c>
      <c r="I29" s="3">
        <v>18930.580000000002</v>
      </c>
      <c r="J29" s="2" t="s">
        <v>56</v>
      </c>
    </row>
    <row r="30" spans="2:10" x14ac:dyDescent="0.25">
      <c r="B30" s="5" t="s">
        <v>31</v>
      </c>
      <c r="C30" s="6">
        <v>11396.86</v>
      </c>
      <c r="H30" s="5" t="s">
        <v>31</v>
      </c>
      <c r="I30" s="6">
        <v>11396.86</v>
      </c>
      <c r="J30" s="5" t="s">
        <v>17</v>
      </c>
    </row>
    <row r="31" spans="2:10" x14ac:dyDescent="0.25">
      <c r="B31" s="2" t="s">
        <v>43</v>
      </c>
      <c r="C31" s="3">
        <v>5906.85</v>
      </c>
      <c r="H31" s="2" t="s">
        <v>43</v>
      </c>
      <c r="I31" s="3">
        <v>5906.85</v>
      </c>
      <c r="J31" s="2" t="s">
        <v>33</v>
      </c>
    </row>
    <row r="32" spans="2:10" x14ac:dyDescent="0.25">
      <c r="B32" s="5" t="s">
        <v>31</v>
      </c>
      <c r="C32" s="6">
        <v>21518.959999999999</v>
      </c>
      <c r="H32" s="5" t="s">
        <v>31</v>
      </c>
      <c r="I32" s="6">
        <v>21518.959999999999</v>
      </c>
      <c r="J32" s="5" t="s">
        <v>33</v>
      </c>
    </row>
    <row r="33" spans="2:10" x14ac:dyDescent="0.25">
      <c r="B33" s="2" t="s">
        <v>15</v>
      </c>
      <c r="C33" s="3">
        <v>3481.33</v>
      </c>
      <c r="H33" s="2" t="s">
        <v>15</v>
      </c>
      <c r="I33" s="3">
        <v>3481.33</v>
      </c>
      <c r="J33" s="2" t="s">
        <v>56</v>
      </c>
    </row>
    <row r="34" spans="2:10" x14ac:dyDescent="0.25">
      <c r="B34" s="5" t="s">
        <v>37</v>
      </c>
      <c r="C34" s="6">
        <v>2539.2800000000002</v>
      </c>
      <c r="H34" s="5" t="s">
        <v>37</v>
      </c>
      <c r="I34" s="6">
        <v>2539.2800000000002</v>
      </c>
      <c r="J34" s="5" t="s">
        <v>56</v>
      </c>
    </row>
    <row r="35" spans="2:10" x14ac:dyDescent="0.25">
      <c r="B35" s="2" t="s">
        <v>37</v>
      </c>
      <c r="C35" s="3">
        <v>16899.439999999999</v>
      </c>
      <c r="H35" s="2" t="s">
        <v>37</v>
      </c>
      <c r="I35" s="3">
        <v>16899.439999999999</v>
      </c>
      <c r="J35" s="2" t="s">
        <v>33</v>
      </c>
    </row>
    <row r="36" spans="2:10" x14ac:dyDescent="0.25">
      <c r="B36" s="5" t="s">
        <v>37</v>
      </c>
      <c r="C36" s="6">
        <v>4951.43</v>
      </c>
      <c r="H36" s="5" t="s">
        <v>37</v>
      </c>
      <c r="I36" s="6">
        <v>4951.43</v>
      </c>
      <c r="J36" s="5" t="s">
        <v>33</v>
      </c>
    </row>
    <row r="37" spans="2:10" x14ac:dyDescent="0.25">
      <c r="B37" s="2" t="s">
        <v>43</v>
      </c>
      <c r="C37" s="3">
        <v>6395.2</v>
      </c>
      <c r="H37" s="2" t="s">
        <v>43</v>
      </c>
      <c r="I37" s="3">
        <v>6395.2</v>
      </c>
      <c r="J37" s="2" t="s">
        <v>17</v>
      </c>
    </row>
    <row r="38" spans="2:10" x14ac:dyDescent="0.25">
      <c r="B38" s="5" t="s">
        <v>37</v>
      </c>
      <c r="C38" s="6">
        <v>24231.11</v>
      </c>
      <c r="H38" s="5" t="s">
        <v>37</v>
      </c>
      <c r="I38" s="6">
        <v>24231.11</v>
      </c>
      <c r="J38" s="5" t="s">
        <v>33</v>
      </c>
    </row>
    <row r="39" spans="2:10" x14ac:dyDescent="0.25">
      <c r="B39" s="2" t="s">
        <v>37</v>
      </c>
      <c r="C39" s="3">
        <v>22580.58</v>
      </c>
      <c r="H39" s="2" t="s">
        <v>37</v>
      </c>
      <c r="I39" s="3">
        <v>22580.58</v>
      </c>
      <c r="J39" s="2" t="s">
        <v>56</v>
      </c>
    </row>
    <row r="40" spans="2:10" x14ac:dyDescent="0.25">
      <c r="B40" s="5" t="s">
        <v>15</v>
      </c>
      <c r="C40" s="6">
        <v>10690.59</v>
      </c>
      <c r="H40" s="5" t="s">
        <v>15</v>
      </c>
      <c r="I40" s="6">
        <v>10690.59</v>
      </c>
      <c r="J40" s="5" t="s">
        <v>33</v>
      </c>
    </row>
    <row r="41" spans="2:10" x14ac:dyDescent="0.25">
      <c r="B41" s="2" t="s">
        <v>43</v>
      </c>
      <c r="C41" s="3">
        <v>14563.67</v>
      </c>
      <c r="H41" s="2" t="s">
        <v>43</v>
      </c>
      <c r="I41" s="3">
        <v>14563.67</v>
      </c>
      <c r="J41" s="2" t="s">
        <v>17</v>
      </c>
    </row>
    <row r="42" spans="2:10" x14ac:dyDescent="0.25">
      <c r="B42" s="5" t="s">
        <v>48</v>
      </c>
      <c r="C42" s="6">
        <v>12670.69</v>
      </c>
      <c r="H42" s="5" t="s">
        <v>48</v>
      </c>
      <c r="I42" s="6">
        <v>12670.69</v>
      </c>
      <c r="J42" s="5" t="s">
        <v>33</v>
      </c>
    </row>
    <row r="43" spans="2:10" x14ac:dyDescent="0.25">
      <c r="B43" s="2" t="s">
        <v>43</v>
      </c>
      <c r="C43" s="3">
        <v>14956.87</v>
      </c>
      <c r="H43" s="2" t="s">
        <v>43</v>
      </c>
      <c r="I43" s="3">
        <v>14956.87</v>
      </c>
      <c r="J43" s="2" t="s">
        <v>17</v>
      </c>
    </row>
    <row r="44" spans="2:10" x14ac:dyDescent="0.25">
      <c r="B44" s="5" t="s">
        <v>48</v>
      </c>
      <c r="C44" s="6">
        <v>1185.5899999999999</v>
      </c>
      <c r="H44" s="5" t="s">
        <v>48</v>
      </c>
      <c r="I44" s="6">
        <v>1185.5899999999999</v>
      </c>
      <c r="J44" s="5" t="s">
        <v>33</v>
      </c>
    </row>
    <row r="45" spans="2:10" x14ac:dyDescent="0.25">
      <c r="B45" s="2" t="s">
        <v>37</v>
      </c>
      <c r="C45" s="3">
        <v>0</v>
      </c>
      <c r="H45" s="2" t="s">
        <v>37</v>
      </c>
      <c r="I45" s="3">
        <v>0</v>
      </c>
      <c r="J45" s="2" t="s">
        <v>33</v>
      </c>
    </row>
    <row r="46" spans="2:10" x14ac:dyDescent="0.25">
      <c r="B46" s="5" t="s">
        <v>48</v>
      </c>
      <c r="C46" s="6">
        <v>8041.19</v>
      </c>
      <c r="H46" s="5" t="s">
        <v>48</v>
      </c>
      <c r="I46" s="6">
        <v>8041.19</v>
      </c>
      <c r="J46" s="5" t="s">
        <v>33</v>
      </c>
    </row>
    <row r="47" spans="2:10" x14ac:dyDescent="0.25">
      <c r="B47" s="2" t="s">
        <v>43</v>
      </c>
      <c r="C47" s="3">
        <v>5486.23</v>
      </c>
      <c r="H47" s="2" t="s">
        <v>43</v>
      </c>
      <c r="I47" s="3">
        <v>5486.23</v>
      </c>
      <c r="J47" s="2" t="s">
        <v>33</v>
      </c>
    </row>
    <row r="48" spans="2:10" x14ac:dyDescent="0.25">
      <c r="B48" s="5" t="s">
        <v>48</v>
      </c>
      <c r="C48" s="6">
        <v>4112.12</v>
      </c>
      <c r="H48" s="5" t="s">
        <v>48</v>
      </c>
      <c r="I48" s="6">
        <v>4112.12</v>
      </c>
      <c r="J48" s="5" t="s">
        <v>17</v>
      </c>
    </row>
    <row r="49" spans="2:10" x14ac:dyDescent="0.25">
      <c r="B49" s="2" t="s">
        <v>43</v>
      </c>
      <c r="C49" s="3">
        <v>23307.55</v>
      </c>
      <c r="H49" s="2" t="s">
        <v>43</v>
      </c>
      <c r="I49" s="3">
        <v>23307.55</v>
      </c>
      <c r="J49" s="2" t="s">
        <v>17</v>
      </c>
    </row>
    <row r="50" spans="2:10" x14ac:dyDescent="0.25">
      <c r="B50" s="5" t="s">
        <v>15</v>
      </c>
      <c r="C50" s="6">
        <v>6954.24</v>
      </c>
      <c r="H50" s="5" t="s">
        <v>15</v>
      </c>
      <c r="I50" s="6">
        <v>6954.24</v>
      </c>
      <c r="J50" s="5" t="s">
        <v>17</v>
      </c>
    </row>
    <row r="51" spans="2:10" x14ac:dyDescent="0.25">
      <c r="B51" s="2" t="s">
        <v>31</v>
      </c>
      <c r="C51" s="3">
        <v>6427.81</v>
      </c>
      <c r="H51" s="2" t="s">
        <v>31</v>
      </c>
      <c r="I51" s="3">
        <v>6427.81</v>
      </c>
      <c r="J51" s="2" t="s">
        <v>33</v>
      </c>
    </row>
    <row r="52" spans="2:10" x14ac:dyDescent="0.25">
      <c r="B52" s="5" t="s">
        <v>37</v>
      </c>
      <c r="C52" s="6">
        <v>19323.759999999998</v>
      </c>
      <c r="H52" s="5" t="s">
        <v>37</v>
      </c>
      <c r="I52" s="6">
        <v>19323.759999999998</v>
      </c>
      <c r="J52" s="5" t="s">
        <v>17</v>
      </c>
    </row>
    <row r="53" spans="2:10" x14ac:dyDescent="0.25">
      <c r="B53" s="2" t="s">
        <v>43</v>
      </c>
      <c r="C53" s="3">
        <v>2974.47</v>
      </c>
      <c r="H53" s="2" t="s">
        <v>43</v>
      </c>
      <c r="I53" s="3">
        <v>2974.47</v>
      </c>
      <c r="J53" s="2" t="s">
        <v>17</v>
      </c>
    </row>
    <row r="54" spans="2:10" x14ac:dyDescent="0.25">
      <c r="B54" s="5" t="s">
        <v>31</v>
      </c>
      <c r="C54" s="6">
        <v>3872.73</v>
      </c>
      <c r="H54" s="5" t="s">
        <v>31</v>
      </c>
      <c r="I54" s="6">
        <v>3872.73</v>
      </c>
      <c r="J54" s="5" t="s">
        <v>33</v>
      </c>
    </row>
    <row r="55" spans="2:10" x14ac:dyDescent="0.25">
      <c r="B55" s="2" t="s">
        <v>48</v>
      </c>
      <c r="C55" s="3">
        <v>17115.25</v>
      </c>
      <c r="H55" s="2" t="s">
        <v>48</v>
      </c>
      <c r="I55" s="3">
        <v>17115.25</v>
      </c>
      <c r="J55" s="2" t="s">
        <v>17</v>
      </c>
    </row>
    <row r="56" spans="2:10" x14ac:dyDescent="0.25">
      <c r="B56" s="5" t="s">
        <v>37</v>
      </c>
      <c r="C56" s="6">
        <v>23158.94</v>
      </c>
      <c r="H56" s="5" t="s">
        <v>37</v>
      </c>
      <c r="I56" s="6">
        <v>23158.94</v>
      </c>
      <c r="J56" s="5" t="s">
        <v>33</v>
      </c>
    </row>
    <row r="57" spans="2:10" x14ac:dyDescent="0.25">
      <c r="B57" s="2" t="s">
        <v>15</v>
      </c>
      <c r="C57" s="3">
        <v>19603.189999999999</v>
      </c>
      <c r="H57" s="2" t="s">
        <v>15</v>
      </c>
      <c r="I57" s="3">
        <v>19603.189999999999</v>
      </c>
      <c r="J57" s="2" t="s">
        <v>56</v>
      </c>
    </row>
    <row r="58" spans="2:10" x14ac:dyDescent="0.25">
      <c r="B58" s="5" t="s">
        <v>31</v>
      </c>
      <c r="C58" s="6">
        <v>21493.11</v>
      </c>
      <c r="H58" s="5" t="s">
        <v>31</v>
      </c>
      <c r="I58" s="6">
        <v>21493.11</v>
      </c>
      <c r="J58" s="5" t="s">
        <v>33</v>
      </c>
    </row>
    <row r="59" spans="2:10" x14ac:dyDescent="0.25">
      <c r="B59" s="2" t="s">
        <v>31</v>
      </c>
      <c r="C59" s="3">
        <v>786.88</v>
      </c>
      <c r="H59" s="2" t="s">
        <v>31</v>
      </c>
      <c r="I59" s="3">
        <v>786.88</v>
      </c>
      <c r="J59" s="2" t="s">
        <v>33</v>
      </c>
    </row>
    <row r="60" spans="2:10" x14ac:dyDescent="0.25">
      <c r="B60" s="5" t="s">
        <v>43</v>
      </c>
      <c r="C60" s="6">
        <v>16108.75</v>
      </c>
      <c r="H60" s="5" t="s">
        <v>43</v>
      </c>
      <c r="I60" s="6">
        <v>16108.75</v>
      </c>
      <c r="J60" s="5" t="s">
        <v>33</v>
      </c>
    </row>
    <row r="61" spans="2:10" x14ac:dyDescent="0.25">
      <c r="B61" s="2" t="s">
        <v>48</v>
      </c>
      <c r="C61" s="3">
        <v>14598.63</v>
      </c>
      <c r="H61" s="2" t="s">
        <v>48</v>
      </c>
      <c r="I61" s="3">
        <v>14598.63</v>
      </c>
      <c r="J61" s="2" t="s">
        <v>33</v>
      </c>
    </row>
    <row r="62" spans="2:10" x14ac:dyDescent="0.25">
      <c r="B62" s="5" t="s">
        <v>48</v>
      </c>
      <c r="C62" s="6">
        <v>11022.57</v>
      </c>
      <c r="H62" s="5" t="s">
        <v>48</v>
      </c>
      <c r="I62" s="6">
        <v>11022.57</v>
      </c>
      <c r="J62" s="5" t="s">
        <v>33</v>
      </c>
    </row>
    <row r="63" spans="2:10" x14ac:dyDescent="0.25">
      <c r="B63" s="2" t="s">
        <v>15</v>
      </c>
      <c r="C63" s="3">
        <v>17777.88</v>
      </c>
      <c r="H63" s="2" t="s">
        <v>15</v>
      </c>
      <c r="I63" s="3">
        <v>17777.88</v>
      </c>
      <c r="J63" s="2" t="s">
        <v>56</v>
      </c>
    </row>
    <row r="64" spans="2:10" x14ac:dyDescent="0.25">
      <c r="B64" s="5" t="s">
        <v>43</v>
      </c>
      <c r="C64" s="6">
        <v>23732.09</v>
      </c>
      <c r="H64" s="5" t="s">
        <v>43</v>
      </c>
      <c r="I64" s="6">
        <v>23732.09</v>
      </c>
      <c r="J64" s="5" t="s">
        <v>17</v>
      </c>
    </row>
    <row r="65" spans="2:10" x14ac:dyDescent="0.25">
      <c r="B65" s="2" t="s">
        <v>48</v>
      </c>
      <c r="C65" s="3">
        <v>0</v>
      </c>
      <c r="H65" s="2" t="s">
        <v>48</v>
      </c>
      <c r="I65" s="3">
        <v>0</v>
      </c>
      <c r="J65" s="2" t="s">
        <v>33</v>
      </c>
    </row>
    <row r="66" spans="2:10" x14ac:dyDescent="0.25">
      <c r="B66" s="5" t="s">
        <v>48</v>
      </c>
      <c r="C66" s="6">
        <v>16690.25</v>
      </c>
      <c r="H66" s="5" t="s">
        <v>48</v>
      </c>
      <c r="I66" s="6">
        <v>16690.25</v>
      </c>
      <c r="J66" s="5" t="s">
        <v>56</v>
      </c>
    </row>
    <row r="67" spans="2:10" x14ac:dyDescent="0.25">
      <c r="B67" s="2" t="s">
        <v>37</v>
      </c>
      <c r="C67" s="3">
        <v>20876.38</v>
      </c>
      <c r="H67" s="2" t="s">
        <v>37</v>
      </c>
      <c r="I67" s="3">
        <v>20876.38</v>
      </c>
      <c r="J67" s="2" t="s">
        <v>56</v>
      </c>
    </row>
    <row r="68" spans="2:10" x14ac:dyDescent="0.25">
      <c r="B68" s="5" t="s">
        <v>15</v>
      </c>
      <c r="C68" s="6">
        <v>11165.56</v>
      </c>
      <c r="H68" s="5" t="s">
        <v>15</v>
      </c>
      <c r="I68" s="6">
        <v>11165.56</v>
      </c>
      <c r="J68" s="5" t="s">
        <v>33</v>
      </c>
    </row>
    <row r="69" spans="2:10" x14ac:dyDescent="0.25">
      <c r="B69" s="2" t="s">
        <v>15</v>
      </c>
      <c r="C69" s="3">
        <v>16663.580000000002</v>
      </c>
      <c r="H69" s="2" t="s">
        <v>15</v>
      </c>
      <c r="I69" s="3">
        <v>16663.580000000002</v>
      </c>
      <c r="J69" s="2" t="s">
        <v>33</v>
      </c>
    </row>
    <row r="70" spans="2:10" x14ac:dyDescent="0.25">
      <c r="B70" s="5" t="s">
        <v>48</v>
      </c>
      <c r="C70" s="6">
        <v>3854.38</v>
      </c>
      <c r="H70" s="5" t="s">
        <v>48</v>
      </c>
      <c r="I70" s="6">
        <v>3854.38</v>
      </c>
      <c r="J70" s="5" t="s">
        <v>56</v>
      </c>
    </row>
    <row r="71" spans="2:10" x14ac:dyDescent="0.25">
      <c r="B71" s="2" t="s">
        <v>37</v>
      </c>
      <c r="C71" s="3">
        <v>22176.2</v>
      </c>
      <c r="H71" s="2" t="s">
        <v>37</v>
      </c>
      <c r="I71" s="3">
        <v>22176.2</v>
      </c>
      <c r="J71" s="2" t="s">
        <v>33</v>
      </c>
    </row>
    <row r="72" spans="2:10" x14ac:dyDescent="0.25">
      <c r="B72" s="5" t="s">
        <v>15</v>
      </c>
      <c r="C72" s="6">
        <v>16470.240000000002</v>
      </c>
      <c r="H72" s="5" t="s">
        <v>15</v>
      </c>
      <c r="I72" s="6">
        <v>16470.240000000002</v>
      </c>
      <c r="J72" s="5" t="s">
        <v>17</v>
      </c>
    </row>
    <row r="73" spans="2:10" x14ac:dyDescent="0.25">
      <c r="B73" s="2" t="s">
        <v>15</v>
      </c>
      <c r="C73" s="3">
        <v>1445.42</v>
      </c>
      <c r="H73" s="2" t="s">
        <v>15</v>
      </c>
      <c r="I73" s="3">
        <v>1445.42</v>
      </c>
      <c r="J73" s="2" t="s">
        <v>17</v>
      </c>
    </row>
    <row r="74" spans="2:10" x14ac:dyDescent="0.25">
      <c r="B74" s="5" t="s">
        <v>37</v>
      </c>
      <c r="C74" s="6">
        <v>14967.22</v>
      </c>
      <c r="H74" s="5" t="s">
        <v>37</v>
      </c>
      <c r="I74" s="6">
        <v>14967.22</v>
      </c>
      <c r="J74" s="5" t="s">
        <v>33</v>
      </c>
    </row>
    <row r="75" spans="2:10" x14ac:dyDescent="0.25">
      <c r="B75" s="2" t="s">
        <v>37</v>
      </c>
      <c r="C75" s="3">
        <v>11361.73</v>
      </c>
      <c r="H75" s="2" t="s">
        <v>37</v>
      </c>
      <c r="I75" s="3">
        <v>11361.73</v>
      </c>
      <c r="J75" s="2" t="s">
        <v>33</v>
      </c>
    </row>
    <row r="76" spans="2:10" x14ac:dyDescent="0.25">
      <c r="B76" s="5" t="s">
        <v>31</v>
      </c>
      <c r="C76" s="6">
        <v>2121.59</v>
      </c>
      <c r="H76" s="5" t="s">
        <v>31</v>
      </c>
      <c r="I76" s="6">
        <v>2121.59</v>
      </c>
      <c r="J76" s="5" t="s">
        <v>17</v>
      </c>
    </row>
    <row r="77" spans="2:10" x14ac:dyDescent="0.25">
      <c r="B77" s="2" t="s">
        <v>15</v>
      </c>
      <c r="C77" s="3">
        <v>3631.68</v>
      </c>
      <c r="H77" s="2" t="s">
        <v>15</v>
      </c>
      <c r="I77" s="3">
        <v>3631.68</v>
      </c>
      <c r="J77" s="2" t="s">
        <v>56</v>
      </c>
    </row>
    <row r="78" spans="2:10" x14ac:dyDescent="0.25">
      <c r="B78" s="5" t="s">
        <v>15</v>
      </c>
      <c r="C78" s="6">
        <v>8405.86</v>
      </c>
      <c r="H78" s="5" t="s">
        <v>15</v>
      </c>
      <c r="I78" s="6">
        <v>8405.86</v>
      </c>
      <c r="J78" s="5" t="s">
        <v>56</v>
      </c>
    </row>
    <row r="79" spans="2:10" x14ac:dyDescent="0.25">
      <c r="B79" s="2" t="s">
        <v>37</v>
      </c>
      <c r="C79" s="3">
        <v>23662.34</v>
      </c>
      <c r="H79" s="2" t="s">
        <v>37</v>
      </c>
      <c r="I79" s="3">
        <v>23662.34</v>
      </c>
      <c r="J79" s="2" t="s">
        <v>33</v>
      </c>
    </row>
    <row r="80" spans="2:10" x14ac:dyDescent="0.25">
      <c r="B80" s="5" t="s">
        <v>48</v>
      </c>
      <c r="C80" s="6">
        <v>18886.18</v>
      </c>
      <c r="H80" s="5" t="s">
        <v>48</v>
      </c>
      <c r="I80" s="6">
        <v>18886.18</v>
      </c>
      <c r="J80" s="5" t="s">
        <v>56</v>
      </c>
    </row>
    <row r="81" spans="2:10" x14ac:dyDescent="0.25">
      <c r="B81" s="2" t="s">
        <v>31</v>
      </c>
      <c r="C81" s="3">
        <v>6968.8</v>
      </c>
      <c r="H81" s="2" t="s">
        <v>31</v>
      </c>
      <c r="I81" s="3">
        <v>6968.8</v>
      </c>
      <c r="J81" s="2" t="s">
        <v>33</v>
      </c>
    </row>
    <row r="82" spans="2:10" x14ac:dyDescent="0.25">
      <c r="B82" s="5" t="s">
        <v>37</v>
      </c>
      <c r="C82" s="6">
        <v>23004.63</v>
      </c>
      <c r="H82" s="5" t="s">
        <v>37</v>
      </c>
      <c r="I82" s="6">
        <v>23004.63</v>
      </c>
      <c r="J82" s="5" t="s">
        <v>33</v>
      </c>
    </row>
    <row r="83" spans="2:10" x14ac:dyDescent="0.25">
      <c r="B83" s="2" t="s">
        <v>31</v>
      </c>
      <c r="C83" s="3">
        <v>3565.35</v>
      </c>
      <c r="H83" s="2" t="s">
        <v>31</v>
      </c>
      <c r="I83" s="3">
        <v>3565.35</v>
      </c>
      <c r="J83" s="2" t="s">
        <v>33</v>
      </c>
    </row>
    <row r="84" spans="2:10" x14ac:dyDescent="0.25">
      <c r="B84" s="5" t="s">
        <v>37</v>
      </c>
      <c r="C84" s="6">
        <v>11476.54</v>
      </c>
      <c r="H84" s="5" t="s">
        <v>37</v>
      </c>
      <c r="I84" s="6">
        <v>11476.54</v>
      </c>
      <c r="J84" s="5" t="s">
        <v>33</v>
      </c>
    </row>
    <row r="85" spans="2:10" x14ac:dyDescent="0.25">
      <c r="B85" s="2" t="s">
        <v>15</v>
      </c>
      <c r="C85" s="3">
        <v>0</v>
      </c>
      <c r="H85" s="2" t="s">
        <v>15</v>
      </c>
      <c r="I85" s="3">
        <v>0</v>
      </c>
      <c r="J85" s="2" t="s">
        <v>33</v>
      </c>
    </row>
    <row r="86" spans="2:10" x14ac:dyDescent="0.25">
      <c r="B86" s="5" t="s">
        <v>15</v>
      </c>
      <c r="C86" s="6">
        <v>23750.37</v>
      </c>
      <c r="H86" s="5" t="s">
        <v>15</v>
      </c>
      <c r="I86" s="6">
        <v>23750.37</v>
      </c>
      <c r="J86" s="5" t="s">
        <v>33</v>
      </c>
    </row>
    <row r="87" spans="2:10" x14ac:dyDescent="0.25">
      <c r="B87" s="2" t="s">
        <v>31</v>
      </c>
      <c r="C87" s="3">
        <v>16802.580000000002</v>
      </c>
      <c r="H87" s="2" t="s">
        <v>31</v>
      </c>
      <c r="I87" s="3">
        <v>16802.580000000002</v>
      </c>
      <c r="J87" s="2" t="s">
        <v>33</v>
      </c>
    </row>
    <row r="88" spans="2:10" x14ac:dyDescent="0.25">
      <c r="B88" s="5" t="s">
        <v>43</v>
      </c>
      <c r="C88" s="6">
        <v>15259.74</v>
      </c>
      <c r="H88" s="5" t="s">
        <v>43</v>
      </c>
      <c r="I88" s="6">
        <v>15259.74</v>
      </c>
      <c r="J88" s="5" t="s">
        <v>33</v>
      </c>
    </row>
    <row r="89" spans="2:10" x14ac:dyDescent="0.25">
      <c r="B89" s="2" t="s">
        <v>43</v>
      </c>
      <c r="C89" s="3">
        <v>16998.21</v>
      </c>
      <c r="H89" s="2" t="s">
        <v>43</v>
      </c>
      <c r="I89" s="3">
        <v>16998.21</v>
      </c>
      <c r="J89" s="2" t="s">
        <v>33</v>
      </c>
    </row>
    <row r="90" spans="2:10" x14ac:dyDescent="0.25">
      <c r="B90" s="5" t="s">
        <v>43</v>
      </c>
      <c r="C90" s="6">
        <v>21287.27</v>
      </c>
      <c r="H90" s="5" t="s">
        <v>43</v>
      </c>
      <c r="I90" s="6">
        <v>21287.27</v>
      </c>
      <c r="J90" s="5" t="s">
        <v>17</v>
      </c>
    </row>
    <row r="91" spans="2:10" x14ac:dyDescent="0.25">
      <c r="B91" s="2" t="s">
        <v>43</v>
      </c>
      <c r="C91" s="3">
        <v>16605.73</v>
      </c>
      <c r="H91" s="2" t="s">
        <v>43</v>
      </c>
      <c r="I91" s="3">
        <v>16605.73</v>
      </c>
      <c r="J91" s="2" t="s">
        <v>56</v>
      </c>
    </row>
    <row r="92" spans="2:10" x14ac:dyDescent="0.25">
      <c r="B92" s="5" t="s">
        <v>37</v>
      </c>
      <c r="C92" s="6">
        <v>10951.38</v>
      </c>
      <c r="H92" s="5" t="s">
        <v>37</v>
      </c>
      <c r="I92" s="6">
        <v>10951.38</v>
      </c>
      <c r="J92" s="5" t="s">
        <v>17</v>
      </c>
    </row>
    <row r="93" spans="2:10" x14ac:dyDescent="0.25">
      <c r="B93" s="2" t="s">
        <v>37</v>
      </c>
      <c r="C93" s="3">
        <v>15474.63</v>
      </c>
      <c r="H93" s="2" t="s">
        <v>37</v>
      </c>
      <c r="I93" s="3">
        <v>15474.63</v>
      </c>
      <c r="J93" s="2" t="s">
        <v>33</v>
      </c>
    </row>
    <row r="94" spans="2:10" x14ac:dyDescent="0.25">
      <c r="B94" s="5" t="s">
        <v>15</v>
      </c>
      <c r="C94" s="6">
        <v>20802.13</v>
      </c>
      <c r="H94" s="5" t="s">
        <v>15</v>
      </c>
      <c r="I94" s="6">
        <v>20802.13</v>
      </c>
      <c r="J94" s="5" t="s">
        <v>17</v>
      </c>
    </row>
    <row r="95" spans="2:10" x14ac:dyDescent="0.25">
      <c r="B95" s="2" t="s">
        <v>31</v>
      </c>
      <c r="C95" s="3">
        <v>16771.07</v>
      </c>
      <c r="H95" s="2" t="s">
        <v>31</v>
      </c>
      <c r="I95" s="3">
        <v>16771.07</v>
      </c>
      <c r="J95" s="2" t="s">
        <v>56</v>
      </c>
    </row>
    <row r="96" spans="2:10" x14ac:dyDescent="0.25">
      <c r="B96" s="5" t="s">
        <v>48</v>
      </c>
      <c r="C96" s="6">
        <v>8999.66</v>
      </c>
      <c r="H96" s="5" t="s">
        <v>48</v>
      </c>
      <c r="I96" s="6">
        <v>8999.66</v>
      </c>
      <c r="J96" s="5" t="s">
        <v>17</v>
      </c>
    </row>
    <row r="97" spans="2:10" x14ac:dyDescent="0.25">
      <c r="B97" s="2" t="s">
        <v>37</v>
      </c>
      <c r="C97" s="3">
        <v>13012.36</v>
      </c>
      <c r="H97" s="2" t="s">
        <v>37</v>
      </c>
      <c r="I97" s="3">
        <v>13012.36</v>
      </c>
      <c r="J97" s="2" t="s">
        <v>17</v>
      </c>
    </row>
    <row r="98" spans="2:10" x14ac:dyDescent="0.25">
      <c r="B98" s="5" t="s">
        <v>43</v>
      </c>
      <c r="C98" s="6">
        <v>17327.11</v>
      </c>
      <c r="H98" s="5" t="s">
        <v>43</v>
      </c>
      <c r="I98" s="6">
        <v>17327.11</v>
      </c>
      <c r="J98" s="5" t="s">
        <v>33</v>
      </c>
    </row>
    <row r="99" spans="2:10" x14ac:dyDescent="0.25">
      <c r="B99" s="2" t="s">
        <v>31</v>
      </c>
      <c r="C99" s="3">
        <v>10229.15</v>
      </c>
      <c r="H99" s="2" t="s">
        <v>31</v>
      </c>
      <c r="I99" s="3">
        <v>10229.15</v>
      </c>
      <c r="J99" s="2" t="s">
        <v>17</v>
      </c>
    </row>
    <row r="100" spans="2:10" x14ac:dyDescent="0.25">
      <c r="B100" s="5" t="s">
        <v>37</v>
      </c>
      <c r="C100" s="6">
        <v>8725.18</v>
      </c>
      <c r="H100" s="5" t="s">
        <v>37</v>
      </c>
      <c r="I100" s="6">
        <v>8725.18</v>
      </c>
      <c r="J100" s="5" t="s">
        <v>33</v>
      </c>
    </row>
    <row r="101" spans="2:10" x14ac:dyDescent="0.25">
      <c r="B101" s="2" t="s">
        <v>48</v>
      </c>
      <c r="C101" s="3">
        <v>5917.34</v>
      </c>
      <c r="H101" s="2" t="s">
        <v>48</v>
      </c>
      <c r="I101" s="3">
        <v>5917.34</v>
      </c>
      <c r="J101" s="2" t="s">
        <v>33</v>
      </c>
    </row>
    <row r="102" spans="2:10" x14ac:dyDescent="0.25">
      <c r="B102" s="5" t="s">
        <v>48</v>
      </c>
      <c r="C102" s="6">
        <v>18517.400000000001</v>
      </c>
      <c r="H102" s="5" t="s">
        <v>48</v>
      </c>
      <c r="I102" s="6">
        <v>18517.400000000001</v>
      </c>
      <c r="J102" s="5" t="s">
        <v>33</v>
      </c>
    </row>
    <row r="103" spans="2:10" x14ac:dyDescent="0.25">
      <c r="B103" s="2" t="s">
        <v>43</v>
      </c>
      <c r="C103" s="3">
        <v>7546.91</v>
      </c>
      <c r="H103" s="2" t="s">
        <v>43</v>
      </c>
      <c r="I103" s="3">
        <v>7546.91</v>
      </c>
      <c r="J103" s="2" t="s">
        <v>33</v>
      </c>
    </row>
    <row r="104" spans="2:10" x14ac:dyDescent="0.25">
      <c r="B104" s="5" t="s">
        <v>37</v>
      </c>
      <c r="C104" s="6">
        <v>24362.51</v>
      </c>
      <c r="H104" s="5" t="s">
        <v>37</v>
      </c>
      <c r="I104" s="6">
        <v>24362.51</v>
      </c>
      <c r="J104" s="5" t="s">
        <v>33</v>
      </c>
    </row>
    <row r="105" spans="2:10" x14ac:dyDescent="0.25">
      <c r="B105" s="2" t="s">
        <v>15</v>
      </c>
      <c r="C105" s="3">
        <v>0</v>
      </c>
      <c r="H105" s="2" t="s">
        <v>15</v>
      </c>
      <c r="I105" s="3">
        <v>0</v>
      </c>
      <c r="J105" s="2" t="s">
        <v>33</v>
      </c>
    </row>
    <row r="106" spans="2:10" x14ac:dyDescent="0.25">
      <c r="B106" s="5" t="s">
        <v>43</v>
      </c>
      <c r="C106" s="6">
        <v>3029.36</v>
      </c>
      <c r="H106" s="5" t="s">
        <v>43</v>
      </c>
      <c r="I106" s="6">
        <v>3029.36</v>
      </c>
      <c r="J106" s="5" t="s">
        <v>33</v>
      </c>
    </row>
    <row r="107" spans="2:10" x14ac:dyDescent="0.25">
      <c r="B107" s="2" t="s">
        <v>43</v>
      </c>
      <c r="C107" s="3">
        <v>20316.32</v>
      </c>
      <c r="H107" s="2" t="s">
        <v>43</v>
      </c>
      <c r="I107" s="3">
        <v>20316.32</v>
      </c>
      <c r="J107" s="2" t="s">
        <v>17</v>
      </c>
    </row>
    <row r="108" spans="2:10" x14ac:dyDescent="0.25">
      <c r="B108" s="5" t="s">
        <v>37</v>
      </c>
      <c r="C108" s="6">
        <v>19810.37</v>
      </c>
      <c r="H108" s="5" t="s">
        <v>37</v>
      </c>
      <c r="I108" s="6">
        <v>19810.37</v>
      </c>
      <c r="J108" s="5" t="s">
        <v>33</v>
      </c>
    </row>
    <row r="109" spans="2:10" x14ac:dyDescent="0.25">
      <c r="B109" s="2" t="s">
        <v>43</v>
      </c>
      <c r="C109" s="3">
        <v>24752.78</v>
      </c>
      <c r="H109" s="2" t="s">
        <v>43</v>
      </c>
      <c r="I109" s="3">
        <v>24752.78</v>
      </c>
      <c r="J109" s="2" t="s">
        <v>33</v>
      </c>
    </row>
    <row r="110" spans="2:10" x14ac:dyDescent="0.25">
      <c r="B110" s="5" t="s">
        <v>15</v>
      </c>
      <c r="C110" s="6">
        <v>6763.22</v>
      </c>
      <c r="H110" s="5" t="s">
        <v>15</v>
      </c>
      <c r="I110" s="6">
        <v>6763.22</v>
      </c>
      <c r="J110" s="5" t="s">
        <v>33</v>
      </c>
    </row>
    <row r="111" spans="2:10" x14ac:dyDescent="0.25">
      <c r="B111" s="2" t="s">
        <v>31</v>
      </c>
      <c r="C111" s="3">
        <v>10331.24</v>
      </c>
      <c r="H111" s="2" t="s">
        <v>31</v>
      </c>
      <c r="I111" s="3">
        <v>10331.24</v>
      </c>
      <c r="J111" s="2" t="s">
        <v>33</v>
      </c>
    </row>
    <row r="112" spans="2:10" x14ac:dyDescent="0.25">
      <c r="B112" s="5" t="s">
        <v>15</v>
      </c>
      <c r="C112" s="6">
        <v>17732.5</v>
      </c>
      <c r="H112" s="5" t="s">
        <v>15</v>
      </c>
      <c r="I112" s="6">
        <v>17732.5</v>
      </c>
      <c r="J112" s="5" t="s">
        <v>17</v>
      </c>
    </row>
    <row r="113" spans="2:10" x14ac:dyDescent="0.25">
      <c r="B113" s="2" t="s">
        <v>31</v>
      </c>
      <c r="C113" s="3">
        <v>10743.45</v>
      </c>
      <c r="H113" s="2" t="s">
        <v>31</v>
      </c>
      <c r="I113" s="3">
        <v>10743.45</v>
      </c>
      <c r="J113" s="2" t="s">
        <v>33</v>
      </c>
    </row>
    <row r="114" spans="2:10" x14ac:dyDescent="0.25">
      <c r="B114" s="5" t="s">
        <v>31</v>
      </c>
      <c r="C114" s="6">
        <v>4314.8900000000003</v>
      </c>
      <c r="H114" s="5" t="s">
        <v>31</v>
      </c>
      <c r="I114" s="6">
        <v>4314.8900000000003</v>
      </c>
      <c r="J114" s="5" t="s">
        <v>33</v>
      </c>
    </row>
    <row r="115" spans="2:10" x14ac:dyDescent="0.25">
      <c r="B115" s="2" t="s">
        <v>48</v>
      </c>
      <c r="C115" s="3">
        <v>17279.21</v>
      </c>
      <c r="H115" s="2" t="s">
        <v>48</v>
      </c>
      <c r="I115" s="3">
        <v>17279.21</v>
      </c>
      <c r="J115" s="2" t="s">
        <v>56</v>
      </c>
    </row>
    <row r="116" spans="2:10" x14ac:dyDescent="0.25">
      <c r="B116" s="5" t="s">
        <v>31</v>
      </c>
      <c r="C116" s="6">
        <v>15031.31</v>
      </c>
      <c r="H116" s="5" t="s">
        <v>31</v>
      </c>
      <c r="I116" s="6">
        <v>15031.31</v>
      </c>
      <c r="J116" s="5" t="s">
        <v>33</v>
      </c>
    </row>
    <row r="117" spans="2:10" x14ac:dyDescent="0.25">
      <c r="B117" s="2" t="s">
        <v>31</v>
      </c>
      <c r="C117" s="3">
        <v>24055.4</v>
      </c>
      <c r="H117" s="2" t="s">
        <v>31</v>
      </c>
      <c r="I117" s="3">
        <v>24055.4</v>
      </c>
      <c r="J117" s="2" t="s">
        <v>33</v>
      </c>
    </row>
    <row r="118" spans="2:10" x14ac:dyDescent="0.25">
      <c r="B118" s="5" t="s">
        <v>48</v>
      </c>
      <c r="C118" s="6">
        <v>13070.3</v>
      </c>
      <c r="H118" s="5" t="s">
        <v>48</v>
      </c>
      <c r="I118" s="6">
        <v>13070.3</v>
      </c>
      <c r="J118" s="5" t="s">
        <v>56</v>
      </c>
    </row>
    <row r="119" spans="2:10" x14ac:dyDescent="0.25">
      <c r="B119" s="2" t="s">
        <v>43</v>
      </c>
      <c r="C119" s="3">
        <v>11856.26</v>
      </c>
      <c r="H119" s="2" t="s">
        <v>43</v>
      </c>
      <c r="I119" s="3">
        <v>11856.26</v>
      </c>
      <c r="J119" s="2" t="s">
        <v>33</v>
      </c>
    </row>
    <row r="120" spans="2:10" x14ac:dyDescent="0.25">
      <c r="B120" s="5" t="s">
        <v>43</v>
      </c>
      <c r="C120" s="6">
        <v>17403.11</v>
      </c>
      <c r="H120" s="5" t="s">
        <v>43</v>
      </c>
      <c r="I120" s="6">
        <v>17403.11</v>
      </c>
      <c r="J120" s="5" t="s">
        <v>33</v>
      </c>
    </row>
    <row r="121" spans="2:10" x14ac:dyDescent="0.25">
      <c r="B121" s="2" t="s">
        <v>43</v>
      </c>
      <c r="C121" s="3">
        <v>6459.49</v>
      </c>
      <c r="H121" s="2" t="s">
        <v>43</v>
      </c>
      <c r="I121" s="3">
        <v>6459.49</v>
      </c>
      <c r="J121" s="2" t="s">
        <v>56</v>
      </c>
    </row>
    <row r="122" spans="2:10" x14ac:dyDescent="0.25">
      <c r="B122" s="5" t="s">
        <v>37</v>
      </c>
      <c r="C122" s="6">
        <v>4852.05</v>
      </c>
      <c r="H122" s="5" t="s">
        <v>37</v>
      </c>
      <c r="I122" s="6">
        <v>4852.05</v>
      </c>
      <c r="J122" s="5" t="s">
        <v>33</v>
      </c>
    </row>
    <row r="123" spans="2:10" x14ac:dyDescent="0.25">
      <c r="B123" s="2" t="s">
        <v>43</v>
      </c>
      <c r="C123" s="3">
        <v>13820.65</v>
      </c>
      <c r="H123" s="2" t="s">
        <v>43</v>
      </c>
      <c r="I123" s="3">
        <v>13820.65</v>
      </c>
      <c r="J123" s="2" t="s">
        <v>17</v>
      </c>
    </row>
    <row r="124" spans="2:10" x14ac:dyDescent="0.25">
      <c r="B124" s="5" t="s">
        <v>48</v>
      </c>
      <c r="C124" s="6">
        <v>17802.61</v>
      </c>
      <c r="H124" s="5" t="s">
        <v>48</v>
      </c>
      <c r="I124" s="6">
        <v>17802.61</v>
      </c>
      <c r="J124" s="5" t="s">
        <v>33</v>
      </c>
    </row>
    <row r="125" spans="2:10" x14ac:dyDescent="0.25">
      <c r="B125" s="2" t="s">
        <v>15</v>
      </c>
      <c r="C125" s="3">
        <v>0</v>
      </c>
      <c r="H125" s="2" t="s">
        <v>15</v>
      </c>
      <c r="I125" s="3">
        <v>0</v>
      </c>
      <c r="J125" s="2" t="s">
        <v>33</v>
      </c>
    </row>
    <row r="126" spans="2:10" x14ac:dyDescent="0.25">
      <c r="B126" s="5" t="s">
        <v>15</v>
      </c>
      <c r="C126" s="6">
        <v>17694.21</v>
      </c>
      <c r="H126" s="5" t="s">
        <v>15</v>
      </c>
      <c r="I126" s="6">
        <v>17694.21</v>
      </c>
      <c r="J126" s="5" t="s">
        <v>17</v>
      </c>
    </row>
  </sheetData>
  <mergeCells count="6">
    <mergeCell ref="B2:F4"/>
    <mergeCell ref="E7:F9"/>
    <mergeCell ref="E10:F11"/>
    <mergeCell ref="H2:L4"/>
    <mergeCell ref="L6:M9"/>
    <mergeCell ref="L10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Vlookup and xlookup</vt:lpstr>
      <vt:lpstr>index+match</vt:lpstr>
      <vt:lpstr>IF VS IFS and IFERROR</vt:lpstr>
      <vt:lpstr>IF+AND +OR</vt:lpstr>
      <vt:lpstr>Sumifs vs COUNTIFS</vt:lpstr>
      <vt:lpstr>MINIFS vs MAXIFS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Prajwal Gavali</cp:lastModifiedBy>
  <cp:revision>0</cp:revision>
  <dcterms:created xsi:type="dcterms:W3CDTF">2026-05-18T06:03:09Z</dcterms:created>
  <dcterms:modified xsi:type="dcterms:W3CDTF">2026-05-18T10:19:13Z</dcterms:modified>
  <dc:language>en-US</dc:language>
</cp:coreProperties>
</file>